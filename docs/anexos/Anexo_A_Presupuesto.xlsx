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blan\Documents\EUDE\TFM - PFM\final\"/>
    </mc:Choice>
  </mc:AlternateContent>
  <xr:revisionPtr revIDLastSave="0" documentId="8_{08E14586-9FFF-45EA-BA5A-857007C80B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rtada" sheetId="1" r:id="rId1"/>
    <sheet name="Supuestos" sheetId="2" r:id="rId2"/>
    <sheet name="Plantilla" sheetId="3" r:id="rId3"/>
    <sheet name="Mensual" sheetId="4" r:id="rId4"/>
    <sheet name="Anual" sheetId="5" r:id="rId5"/>
    <sheet name="Indicadores" sheetId="6" r:id="rId6"/>
    <sheet name="Sensibilida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u7ESU9hYFB3Z+sq7+Mv3okS/oo4FvzFV/3OtYSIc8Vw="/>
    </ext>
  </extLst>
</workbook>
</file>

<file path=xl/calcChain.xml><?xml version="1.0" encoding="utf-8"?>
<calcChain xmlns="http://schemas.openxmlformats.org/spreadsheetml/2006/main">
  <c r="B21" i="6" l="1"/>
  <c r="B20" i="6"/>
  <c r="B19" i="6"/>
  <c r="B22" i="6" s="1"/>
  <c r="B14" i="6"/>
  <c r="B4" i="6"/>
  <c r="F49" i="5"/>
  <c r="E49" i="5"/>
  <c r="D49" i="5"/>
  <c r="C49" i="5"/>
  <c r="B49" i="5"/>
  <c r="B30" i="5"/>
  <c r="B29" i="5"/>
  <c r="B26" i="5"/>
  <c r="AJ61" i="4" a="1"/>
  <c r="AJ61" i="4" s="1"/>
  <c r="AG61" i="4"/>
  <c r="F7" i="5" s="1" a="1"/>
  <c r="F7" i="5" s="1"/>
  <c r="AD61" i="4"/>
  <c r="AC61" i="4"/>
  <c r="Y61" i="4"/>
  <c r="X61" i="4"/>
  <c r="U61" i="4"/>
  <c r="T61" i="4" a="1"/>
  <c r="T61" i="4" s="1"/>
  <c r="D61" i="4"/>
  <c r="C61" i="4" a="1"/>
  <c r="C61" i="4" s="1"/>
  <c r="B61" i="4"/>
  <c r="H61" i="4" s="1" a="1"/>
  <c r="H61" i="4" s="1"/>
  <c r="AJ60" i="4" a="1"/>
  <c r="AJ60" i="4" s="1"/>
  <c r="AG60" i="4"/>
  <c r="AD60" i="4"/>
  <c r="AC60" i="4"/>
  <c r="Y60" i="4"/>
  <c r="X60" i="4"/>
  <c r="U60" i="4"/>
  <c r="D60" i="4"/>
  <c r="B60" i="4"/>
  <c r="AJ59" i="4" a="1"/>
  <c r="AJ59" i="4" s="1"/>
  <c r="AI59" i="4" a="1"/>
  <c r="AI59" i="4" s="1"/>
  <c r="AG59" i="4"/>
  <c r="AE59" i="4" a="1"/>
  <c r="AE59" i="4"/>
  <c r="AD59" i="4"/>
  <c r="AC59" i="4"/>
  <c r="Y59" i="4"/>
  <c r="X59" i="4"/>
  <c r="U59" i="4"/>
  <c r="F59" i="4" a="1"/>
  <c r="F59" i="4" s="1"/>
  <c r="D59" i="4"/>
  <c r="B59" i="4"/>
  <c r="Q59" i="4" s="1" a="1"/>
  <c r="Q59" i="4" s="1"/>
  <c r="AJ58" i="4" a="1"/>
  <c r="AJ58" i="4" s="1"/>
  <c r="AI58" i="4" a="1"/>
  <c r="AI58" i="4" s="1"/>
  <c r="AG58" i="4"/>
  <c r="AE58" i="4" a="1"/>
  <c r="AE58" i="4"/>
  <c r="AD58" i="4"/>
  <c r="AC58" i="4"/>
  <c r="Y58" i="4"/>
  <c r="X58" i="4"/>
  <c r="U58" i="4"/>
  <c r="T58" i="4" a="1"/>
  <c r="T58" i="4" s="1"/>
  <c r="Q58" i="4" a="1"/>
  <c r="Q58" i="4"/>
  <c r="H58" i="4" a="1"/>
  <c r="H58" i="4" s="1"/>
  <c r="F58" i="4" a="1"/>
  <c r="F58" i="4"/>
  <c r="D58" i="4"/>
  <c r="C58" i="4" a="1"/>
  <c r="C58" i="4"/>
  <c r="B58" i="4"/>
  <c r="M58" i="4" s="1" a="1"/>
  <c r="M58" i="4" s="1"/>
  <c r="AJ57" i="4" a="1"/>
  <c r="AJ57" i="4" s="1"/>
  <c r="AI57" i="4" a="1"/>
  <c r="AI57" i="4" s="1"/>
  <c r="AG57" i="4"/>
  <c r="AD57" i="4"/>
  <c r="AC57" i="4"/>
  <c r="Y57" i="4"/>
  <c r="X57" i="4"/>
  <c r="U57" i="4"/>
  <c r="T57" i="4" a="1"/>
  <c r="T57" i="4" s="1"/>
  <c r="D57" i="4"/>
  <c r="C57" i="4" a="1"/>
  <c r="C57" i="4"/>
  <c r="B57" i="4"/>
  <c r="M57" i="4" s="1" a="1"/>
  <c r="M57" i="4" s="1"/>
  <c r="AG56" i="4"/>
  <c r="AE56" i="4" a="1"/>
  <c r="AE56" i="4" s="1"/>
  <c r="AD56" i="4"/>
  <c r="AC56" i="4"/>
  <c r="Y56" i="4"/>
  <c r="X56" i="4"/>
  <c r="U56" i="4"/>
  <c r="D56" i="4"/>
  <c r="C56" i="4" a="1"/>
  <c r="C56" i="4" s="1"/>
  <c r="B56" i="4"/>
  <c r="F56" i="4" s="1" a="1"/>
  <c r="F56" i="4" s="1"/>
  <c r="AG55" i="4"/>
  <c r="AD55" i="4"/>
  <c r="AC55" i="4"/>
  <c r="Y55" i="4"/>
  <c r="X55" i="4"/>
  <c r="U55" i="4"/>
  <c r="Q55" i="4" a="1"/>
  <c r="Q55" i="4"/>
  <c r="H55" i="4" a="1"/>
  <c r="H55" i="4" s="1"/>
  <c r="D55" i="4"/>
  <c r="B55" i="4"/>
  <c r="T55" i="4" s="1" a="1"/>
  <c r="T55" i="4" s="1"/>
  <c r="AJ54" i="4" a="1"/>
  <c r="AJ54" i="4" s="1"/>
  <c r="AI54" i="4" a="1"/>
  <c r="AI54" i="4"/>
  <c r="AG54" i="4"/>
  <c r="AE54" i="4" a="1"/>
  <c r="AE54" i="4" s="1"/>
  <c r="AD54" i="4"/>
  <c r="AC54" i="4"/>
  <c r="Y54" i="4"/>
  <c r="X54" i="4"/>
  <c r="U54" i="4"/>
  <c r="T54" i="4" a="1"/>
  <c r="T54" i="4"/>
  <c r="Q54" i="4" a="1"/>
  <c r="Q54" i="4" s="1"/>
  <c r="H54" i="4" a="1"/>
  <c r="H54" i="4" s="1"/>
  <c r="F54" i="4" a="1"/>
  <c r="F54" i="4" s="1"/>
  <c r="D54" i="4"/>
  <c r="C54" i="4" a="1"/>
  <c r="C54" i="4"/>
  <c r="B54" i="4"/>
  <c r="M54" i="4" s="1" a="1"/>
  <c r="M54" i="4" s="1"/>
  <c r="AJ53" i="4" a="1"/>
  <c r="AJ53" i="4" s="1"/>
  <c r="AG53" i="4"/>
  <c r="AD53" i="4"/>
  <c r="AC53" i="4"/>
  <c r="Y53" i="4"/>
  <c r="X53" i="4"/>
  <c r="U53" i="4"/>
  <c r="D53" i="4"/>
  <c r="B53" i="4"/>
  <c r="T53" i="4" s="1" a="1"/>
  <c r="T53" i="4" s="1"/>
  <c r="AJ52" i="4" a="1"/>
  <c r="AJ52" i="4" s="1"/>
  <c r="AI52" i="4" a="1"/>
  <c r="AI52" i="4" s="1"/>
  <c r="AG52" i="4"/>
  <c r="AE52" i="4" a="1"/>
  <c r="AE52" i="4"/>
  <c r="AD52" i="4"/>
  <c r="AC52" i="4"/>
  <c r="Y52" i="4"/>
  <c r="X52" i="4"/>
  <c r="U52" i="4"/>
  <c r="T52" i="4" a="1"/>
  <c r="T52" i="4"/>
  <c r="Q52" i="4" a="1"/>
  <c r="Q52" i="4"/>
  <c r="H52" i="4" a="1"/>
  <c r="H52" i="4" s="1"/>
  <c r="F52" i="4" a="1"/>
  <c r="F52" i="4"/>
  <c r="D52" i="4"/>
  <c r="C52" i="4" a="1"/>
  <c r="C52" i="4"/>
  <c r="B52" i="4"/>
  <c r="M52" i="4" s="1" a="1"/>
  <c r="M52" i="4" s="1"/>
  <c r="AI51" i="4" a="1"/>
  <c r="AI51" i="4" s="1"/>
  <c r="AG51" i="4"/>
  <c r="AD51" i="4"/>
  <c r="AC51" i="4"/>
  <c r="Y51" i="4"/>
  <c r="X51" i="4"/>
  <c r="U51" i="4"/>
  <c r="H51" i="4" a="1"/>
  <c r="H51" i="4" s="1"/>
  <c r="D51" i="4"/>
  <c r="B51" i="4"/>
  <c r="AE51" i="4" s="1" a="1"/>
  <c r="AE51" i="4" s="1"/>
  <c r="AJ50" i="4" a="1"/>
  <c r="AJ50" i="4" s="1"/>
  <c r="AI50" i="4" a="1"/>
  <c r="AI50" i="4"/>
  <c r="AG50" i="4"/>
  <c r="AE50" i="4" a="1"/>
  <c r="AE50" i="4"/>
  <c r="AD50" i="4"/>
  <c r="AC50" i="4"/>
  <c r="Y50" i="4"/>
  <c r="X50" i="4"/>
  <c r="U50" i="4"/>
  <c r="T50" i="4" a="1"/>
  <c r="T50" i="4"/>
  <c r="Q50" i="4" a="1"/>
  <c r="Q50" i="4"/>
  <c r="H50" i="4" a="1"/>
  <c r="H50" i="4" s="1"/>
  <c r="F50" i="4" a="1"/>
  <c r="F50" i="4"/>
  <c r="D50" i="4"/>
  <c r="C50" i="4" a="1"/>
  <c r="C50" i="4"/>
  <c r="B50" i="4"/>
  <c r="M50" i="4" s="1" a="1"/>
  <c r="M50" i="4" s="1"/>
  <c r="AG49" i="4"/>
  <c r="E7" i="5" s="1" a="1"/>
  <c r="E7" i="5" s="1"/>
  <c r="AD49" i="4"/>
  <c r="AC49" i="4"/>
  <c r="Y49" i="4"/>
  <c r="X49" i="4"/>
  <c r="U49" i="4"/>
  <c r="D49" i="4"/>
  <c r="B49" i="4"/>
  <c r="AI49" i="4" s="1" a="1"/>
  <c r="AI49" i="4" s="1"/>
  <c r="AJ48" i="4" a="1"/>
  <c r="AJ48" i="4" s="1"/>
  <c r="AI48" i="4" a="1"/>
  <c r="AI48" i="4" s="1"/>
  <c r="AG48" i="4"/>
  <c r="AE48" i="4" a="1"/>
  <c r="AE48" i="4" s="1"/>
  <c r="AD48" i="4"/>
  <c r="AC48" i="4"/>
  <c r="Y48" i="4"/>
  <c r="X48" i="4"/>
  <c r="U48" i="4"/>
  <c r="T48" i="4" a="1"/>
  <c r="T48" i="4"/>
  <c r="Q48" i="4" a="1"/>
  <c r="Q48" i="4"/>
  <c r="M48" i="4"/>
  <c r="H48" i="4" a="1"/>
  <c r="H48" i="4" s="1"/>
  <c r="F48" i="4" a="1"/>
  <c r="F48" i="4" s="1"/>
  <c r="D48" i="4"/>
  <c r="C48" i="4" a="1"/>
  <c r="C48" i="4"/>
  <c r="B48" i="4"/>
  <c r="M48" i="4" s="1" a="1"/>
  <c r="AJ47" i="4" a="1"/>
  <c r="AJ47" i="4"/>
  <c r="AI47" i="4" a="1"/>
  <c r="AI47" i="4" s="1"/>
  <c r="AG47" i="4"/>
  <c r="AD47" i="4"/>
  <c r="AC47" i="4"/>
  <c r="Y47" i="4"/>
  <c r="X47" i="4"/>
  <c r="U47" i="4"/>
  <c r="M47" i="4" a="1"/>
  <c r="M47" i="4"/>
  <c r="N47" i="4" s="1"/>
  <c r="H47" i="4" a="1"/>
  <c r="H47" i="4" s="1"/>
  <c r="D47" i="4"/>
  <c r="B47" i="4"/>
  <c r="AJ46" i="4" a="1"/>
  <c r="AJ46" i="4" s="1"/>
  <c r="AI46" i="4" a="1"/>
  <c r="AI46" i="4"/>
  <c r="AG46" i="4"/>
  <c r="AE46" i="4" a="1"/>
  <c r="AE46" i="4" s="1"/>
  <c r="AD46" i="4"/>
  <c r="AC46" i="4"/>
  <c r="Y46" i="4"/>
  <c r="X46" i="4"/>
  <c r="U46" i="4"/>
  <c r="T46" i="4" a="1"/>
  <c r="T46" i="4" s="1"/>
  <c r="Q46" i="4" a="1"/>
  <c r="Q46" i="4"/>
  <c r="M46" i="4"/>
  <c r="H46" i="4" a="1"/>
  <c r="H46" i="4" s="1"/>
  <c r="F46" i="4" a="1"/>
  <c r="F46" i="4"/>
  <c r="D46" i="4"/>
  <c r="C46" i="4" a="1"/>
  <c r="C46" i="4"/>
  <c r="B46" i="4"/>
  <c r="M46" i="4" s="1" a="1"/>
  <c r="AG45" i="4"/>
  <c r="AD45" i="4"/>
  <c r="AC45" i="4"/>
  <c r="Y45" i="4"/>
  <c r="X45" i="4"/>
  <c r="U45" i="4"/>
  <c r="D45" i="4"/>
  <c r="B45" i="4"/>
  <c r="AJ44" i="4" a="1"/>
  <c r="AJ44" i="4" s="1"/>
  <c r="AI44" i="4" a="1"/>
  <c r="AI44" i="4"/>
  <c r="AG44" i="4"/>
  <c r="AE44" i="4"/>
  <c r="AD44" i="4"/>
  <c r="AC44" i="4"/>
  <c r="Y44" i="4"/>
  <c r="X44" i="4"/>
  <c r="U44" i="4"/>
  <c r="T44" i="4" a="1"/>
  <c r="T44" i="4"/>
  <c r="Q44" i="4" a="1"/>
  <c r="Q44" i="4"/>
  <c r="N44" i="4"/>
  <c r="M44" i="4" a="1"/>
  <c r="M44" i="4"/>
  <c r="O44" i="4" s="1"/>
  <c r="F44" i="4" a="1"/>
  <c r="F44" i="4"/>
  <c r="D44" i="4"/>
  <c r="C44" i="4" a="1"/>
  <c r="C44" i="4" s="1"/>
  <c r="B44" i="4"/>
  <c r="AE44" i="4" s="1" a="1"/>
  <c r="AJ43" i="4" a="1"/>
  <c r="AJ43" i="4" s="1"/>
  <c r="AG43" i="4"/>
  <c r="AD43" i="4"/>
  <c r="AC43" i="4"/>
  <c r="Y43" i="4"/>
  <c r="X43" i="4"/>
  <c r="U43" i="4"/>
  <c r="Q43" i="4" a="1"/>
  <c r="Q43" i="4" s="1"/>
  <c r="H43" i="4" a="1"/>
  <c r="H43" i="4" s="1"/>
  <c r="F43" i="4" a="1"/>
  <c r="F43" i="4" s="1"/>
  <c r="D43" i="4"/>
  <c r="B43" i="4"/>
  <c r="M43" i="4" s="1" a="1"/>
  <c r="M43" i="4" s="1"/>
  <c r="AJ42" i="4" a="1"/>
  <c r="AJ42" i="4"/>
  <c r="AG42" i="4"/>
  <c r="AE42" i="4" a="1"/>
  <c r="AE42" i="4"/>
  <c r="AD42" i="4"/>
  <c r="AC42" i="4"/>
  <c r="Y42" i="4"/>
  <c r="X42" i="4"/>
  <c r="U42" i="4"/>
  <c r="Q42" i="4" a="1"/>
  <c r="Q42" i="4"/>
  <c r="H42" i="4" a="1"/>
  <c r="H42" i="4" s="1"/>
  <c r="F42" i="4" a="1"/>
  <c r="F42" i="4"/>
  <c r="D42" i="4"/>
  <c r="B42" i="4"/>
  <c r="AI42" i="4" s="1" a="1"/>
  <c r="AI42" i="4" s="1"/>
  <c r="AJ41" i="4" a="1"/>
  <c r="AJ41" i="4" s="1"/>
  <c r="AI41" i="4" a="1"/>
  <c r="AI41" i="4" s="1"/>
  <c r="AG41" i="4"/>
  <c r="AE41" i="4" a="1"/>
  <c r="AE41" i="4"/>
  <c r="AD41" i="4"/>
  <c r="AC41" i="4"/>
  <c r="Y41" i="4"/>
  <c r="X41" i="4"/>
  <c r="U41" i="4"/>
  <c r="T41" i="4" a="1"/>
  <c r="T41" i="4" s="1"/>
  <c r="Q41" i="4" a="1"/>
  <c r="Q41" i="4"/>
  <c r="F41" i="4" a="1"/>
  <c r="F41" i="4"/>
  <c r="D41" i="4"/>
  <c r="C41" i="4" a="1"/>
  <c r="C41" i="4" s="1"/>
  <c r="B41" i="4"/>
  <c r="H41" i="4" s="1" a="1"/>
  <c r="H41" i="4" s="1"/>
  <c r="AJ40" i="4" a="1"/>
  <c r="AJ40" i="4" s="1"/>
  <c r="AG40" i="4"/>
  <c r="AD40" i="4"/>
  <c r="AC40" i="4"/>
  <c r="Y40" i="4"/>
  <c r="X40" i="4"/>
  <c r="U40" i="4"/>
  <c r="H40" i="4" a="1"/>
  <c r="H40" i="4" s="1"/>
  <c r="D40" i="4"/>
  <c r="B40" i="4"/>
  <c r="AI39" i="4" a="1"/>
  <c r="AI39" i="4" s="1"/>
  <c r="AG39" i="4"/>
  <c r="AE39" i="4" a="1"/>
  <c r="AE39" i="4" s="1"/>
  <c r="AD39" i="4"/>
  <c r="AC39" i="4"/>
  <c r="Y39" i="4"/>
  <c r="X39" i="4"/>
  <c r="U39" i="4"/>
  <c r="Q39" i="4" a="1"/>
  <c r="Q39" i="4" s="1"/>
  <c r="H39" i="4" a="1"/>
  <c r="H39" i="4"/>
  <c r="D39" i="4"/>
  <c r="B39" i="4"/>
  <c r="AJ38" i="4" a="1"/>
  <c r="AJ38" i="4" s="1"/>
  <c r="AG38" i="4"/>
  <c r="AE38" i="4" a="1"/>
  <c r="AE38" i="4"/>
  <c r="AD38" i="4"/>
  <c r="AC38" i="4"/>
  <c r="Y38" i="4"/>
  <c r="X38" i="4"/>
  <c r="U38" i="4"/>
  <c r="Q38" i="4" a="1"/>
  <c r="Q38" i="4"/>
  <c r="H38" i="4" a="1"/>
  <c r="H38" i="4" s="1"/>
  <c r="F38" i="4" a="1"/>
  <c r="F38" i="4" s="1"/>
  <c r="D38" i="4"/>
  <c r="B38" i="4"/>
  <c r="AI38" i="4" s="1" a="1"/>
  <c r="AI38" i="4" s="1"/>
  <c r="AJ37" i="4" a="1"/>
  <c r="AJ37" i="4"/>
  <c r="AI37" i="4" a="1"/>
  <c r="AI37" i="4" s="1"/>
  <c r="AG37" i="4"/>
  <c r="D7" i="5" s="1" a="1"/>
  <c r="D7" i="5" s="1"/>
  <c r="AD37" i="4"/>
  <c r="AC37" i="4"/>
  <c r="Y37" i="4"/>
  <c r="X37" i="4"/>
  <c r="U37" i="4"/>
  <c r="T37" i="4" a="1"/>
  <c r="T37" i="4" s="1"/>
  <c r="Q37" i="4" a="1"/>
  <c r="Q37" i="4" s="1"/>
  <c r="F37" i="4" a="1"/>
  <c r="F37" i="4" s="1"/>
  <c r="D37" i="4"/>
  <c r="C37" i="4" a="1"/>
  <c r="C37" i="4" s="1"/>
  <c r="B37" i="4"/>
  <c r="H37" i="4" s="1" a="1"/>
  <c r="H37" i="4" s="1"/>
  <c r="AG36" i="4"/>
  <c r="AD36" i="4"/>
  <c r="AC36" i="4"/>
  <c r="Y36" i="4"/>
  <c r="X36" i="4"/>
  <c r="U36" i="4"/>
  <c r="H36" i="4" a="1"/>
  <c r="H36" i="4" s="1"/>
  <c r="D36" i="4"/>
  <c r="B36" i="4"/>
  <c r="AJ36" i="4" s="1" a="1"/>
  <c r="AJ36" i="4" s="1"/>
  <c r="AI35" i="4" a="1"/>
  <c r="AI35" i="4" s="1"/>
  <c r="AG35" i="4"/>
  <c r="AD35" i="4"/>
  <c r="AC35" i="4"/>
  <c r="Y35" i="4"/>
  <c r="X35" i="4"/>
  <c r="U35" i="4"/>
  <c r="T35" i="4" a="1"/>
  <c r="T35" i="4" s="1"/>
  <c r="M35" i="4" a="1"/>
  <c r="M35" i="4" s="1"/>
  <c r="H35" i="4" a="1"/>
  <c r="H35" i="4"/>
  <c r="F35" i="4" a="1"/>
  <c r="F35" i="4" s="1"/>
  <c r="D35" i="4"/>
  <c r="C35" i="4" a="1"/>
  <c r="C35" i="4" s="1"/>
  <c r="B35" i="4"/>
  <c r="AJ35" i="4" s="1" a="1"/>
  <c r="AJ35" i="4" s="1"/>
  <c r="AG34" i="4"/>
  <c r="AE34" i="4" a="1"/>
  <c r="AE34" i="4" s="1"/>
  <c r="AD34" i="4"/>
  <c r="AC34" i="4"/>
  <c r="Y34" i="4"/>
  <c r="X34" i="4"/>
  <c r="U34" i="4"/>
  <c r="Q34" i="4" a="1"/>
  <c r="Q34" i="4" s="1"/>
  <c r="D34" i="4"/>
  <c r="B34" i="4"/>
  <c r="M34" i="4" s="1" a="1"/>
  <c r="M34" i="4" s="1"/>
  <c r="AJ33" i="4" a="1"/>
  <c r="AJ33" i="4" s="1"/>
  <c r="AI33" i="4" a="1"/>
  <c r="AI33" i="4"/>
  <c r="AG33" i="4"/>
  <c r="AE33" i="4" a="1"/>
  <c r="AE33" i="4" s="1"/>
  <c r="AD33" i="4"/>
  <c r="AC33" i="4"/>
  <c r="Y33" i="4"/>
  <c r="X33" i="4"/>
  <c r="U33" i="4"/>
  <c r="T33" i="4" a="1"/>
  <c r="T33" i="4" s="1"/>
  <c r="Q33" i="4" a="1"/>
  <c r="Q33" i="4"/>
  <c r="O33" i="4"/>
  <c r="M33" i="4"/>
  <c r="N33" i="4" s="1"/>
  <c r="H33" i="4" a="1"/>
  <c r="H33" i="4" s="1"/>
  <c r="F33" i="4" a="1"/>
  <c r="F33" i="4"/>
  <c r="D33" i="4"/>
  <c r="C33" i="4" a="1"/>
  <c r="C33" i="4" s="1"/>
  <c r="B33" i="4"/>
  <c r="M33" i="4" s="1" a="1"/>
  <c r="AI32" i="4" a="1"/>
  <c r="AI32" i="4"/>
  <c r="AG32" i="4"/>
  <c r="AD32" i="4"/>
  <c r="AC32" i="4"/>
  <c r="Y32" i="4"/>
  <c r="X32" i="4"/>
  <c r="U32" i="4"/>
  <c r="T32" i="4" a="1"/>
  <c r="T32" i="4" s="1"/>
  <c r="M32" i="4" a="1"/>
  <c r="M32" i="4" s="1"/>
  <c r="H32" i="4" a="1"/>
  <c r="H32" i="4"/>
  <c r="D32" i="4"/>
  <c r="C32" i="4" a="1"/>
  <c r="C32" i="4" s="1"/>
  <c r="B32" i="4"/>
  <c r="AJ32" i="4" s="1" a="1"/>
  <c r="AJ32" i="4" s="1"/>
  <c r="AI31" i="4" a="1"/>
  <c r="AI31" i="4" s="1"/>
  <c r="AG31" i="4"/>
  <c r="AE31" i="4" a="1"/>
  <c r="AE31" i="4" s="1"/>
  <c r="AD31" i="4"/>
  <c r="AC31" i="4"/>
  <c r="Y31" i="4"/>
  <c r="X31" i="4"/>
  <c r="U31" i="4"/>
  <c r="T31" i="4" a="1"/>
  <c r="T31" i="4" s="1"/>
  <c r="M31" i="4" a="1"/>
  <c r="M31" i="4" s="1"/>
  <c r="H31" i="4" a="1"/>
  <c r="H31" i="4" s="1"/>
  <c r="F31" i="4" a="1"/>
  <c r="F31" i="4" s="1"/>
  <c r="D31" i="4"/>
  <c r="C31" i="4" a="1"/>
  <c r="C31" i="4" s="1"/>
  <c r="B31" i="4"/>
  <c r="AJ31" i="4" s="1" a="1"/>
  <c r="AJ31" i="4" s="1"/>
  <c r="AJ30" i="4" a="1"/>
  <c r="AJ30" i="4" s="1"/>
  <c r="AG30" i="4"/>
  <c r="AE30" i="4" a="1"/>
  <c r="AE30" i="4" s="1"/>
  <c r="AD30" i="4"/>
  <c r="AC30" i="4"/>
  <c r="Y30" i="4"/>
  <c r="X30" i="4"/>
  <c r="U30" i="4"/>
  <c r="Q30" i="4" a="1"/>
  <c r="Q30" i="4" s="1"/>
  <c r="D30" i="4"/>
  <c r="B30" i="4"/>
  <c r="M30" i="4" s="1" a="1"/>
  <c r="M30" i="4" s="1"/>
  <c r="AJ29" i="4" a="1"/>
  <c r="AJ29" i="4" s="1"/>
  <c r="AI29" i="4" a="1"/>
  <c r="AI29" i="4"/>
  <c r="AG29" i="4"/>
  <c r="AE29" i="4" a="1"/>
  <c r="AE29" i="4" s="1"/>
  <c r="AD29" i="4"/>
  <c r="AC29" i="4"/>
  <c r="Y29" i="4"/>
  <c r="X29" i="4"/>
  <c r="U29" i="4"/>
  <c r="T29" i="4" a="1"/>
  <c r="T29" i="4" s="1"/>
  <c r="Q29" i="4" a="1"/>
  <c r="Q29" i="4"/>
  <c r="H29" i="4" a="1"/>
  <c r="H29" i="4" s="1"/>
  <c r="F29" i="4" a="1"/>
  <c r="F29" i="4"/>
  <c r="D29" i="4"/>
  <c r="C29" i="4" a="1"/>
  <c r="C29" i="4" s="1"/>
  <c r="B29" i="4"/>
  <c r="M29" i="4" s="1" a="1"/>
  <c r="M29" i="4" s="1"/>
  <c r="AJ28" i="4" a="1"/>
  <c r="AJ28" i="4" s="1"/>
  <c r="AI28" i="4" a="1"/>
  <c r="AI28" i="4" s="1"/>
  <c r="AG28" i="4"/>
  <c r="AD28" i="4"/>
  <c r="AC28" i="4"/>
  <c r="Y28" i="4"/>
  <c r="X28" i="4"/>
  <c r="U28" i="4"/>
  <c r="T28" i="4" a="1"/>
  <c r="T28" i="4" s="1"/>
  <c r="M28" i="4" a="1"/>
  <c r="M28" i="4" s="1"/>
  <c r="D28" i="4"/>
  <c r="C28" i="4" a="1"/>
  <c r="C28" i="4" s="1"/>
  <c r="B28" i="4"/>
  <c r="AJ27" i="4" a="1"/>
  <c r="AJ27" i="4" s="1"/>
  <c r="AG27" i="4"/>
  <c r="AD27" i="4"/>
  <c r="AC27" i="4"/>
  <c r="Y27" i="4"/>
  <c r="X27" i="4"/>
  <c r="U27" i="4"/>
  <c r="D27" i="4"/>
  <c r="B27" i="4"/>
  <c r="AJ26" i="4" a="1"/>
  <c r="AJ26" i="4" s="1"/>
  <c r="AG26" i="4"/>
  <c r="AD26" i="4"/>
  <c r="AC26" i="4"/>
  <c r="Y26" i="4"/>
  <c r="X26" i="4"/>
  <c r="U26" i="4"/>
  <c r="Q26" i="4" a="1"/>
  <c r="Q26" i="4" s="1"/>
  <c r="N26" i="4"/>
  <c r="M26" i="4" a="1"/>
  <c r="M26" i="4" s="1"/>
  <c r="F26" i="4" a="1"/>
  <c r="F26" i="4" s="1"/>
  <c r="D26" i="4"/>
  <c r="B26" i="4"/>
  <c r="H26" i="4" s="1" a="1"/>
  <c r="H26" i="4" s="1"/>
  <c r="AJ25" i="4" a="1"/>
  <c r="AJ25" i="4" s="1"/>
  <c r="AI25" i="4" a="1"/>
  <c r="AI25" i="4" s="1"/>
  <c r="AG25" i="4"/>
  <c r="C7" i="5" s="1" a="1"/>
  <c r="C7" i="5" s="1"/>
  <c r="AD25" i="4"/>
  <c r="AC25" i="4"/>
  <c r="Y25" i="4"/>
  <c r="X25" i="4"/>
  <c r="U25" i="4"/>
  <c r="Q25" i="4" a="1"/>
  <c r="Q25" i="4" s="1"/>
  <c r="H25" i="4" a="1"/>
  <c r="H25" i="4" s="1"/>
  <c r="F25" i="4" a="1"/>
  <c r="F25" i="4" s="1"/>
  <c r="D25" i="4"/>
  <c r="B25" i="4"/>
  <c r="T25" i="4" s="1" a="1"/>
  <c r="T25" i="4" s="1"/>
  <c r="AJ24" i="4" a="1"/>
  <c r="AJ24" i="4"/>
  <c r="AI24" i="4" a="1"/>
  <c r="AI24" i="4" s="1"/>
  <c r="AG24" i="4"/>
  <c r="AE24" i="4" a="1"/>
  <c r="AE24" i="4" s="1"/>
  <c r="AD24" i="4"/>
  <c r="AC24" i="4"/>
  <c r="Y24" i="4"/>
  <c r="X24" i="4"/>
  <c r="U24" i="4"/>
  <c r="T24" i="4" a="1"/>
  <c r="T24" i="4" s="1"/>
  <c r="Q24" i="4" a="1"/>
  <c r="Q24" i="4" s="1"/>
  <c r="M24" i="4"/>
  <c r="N24" i="4" s="1"/>
  <c r="O24" i="4" s="1"/>
  <c r="H24" i="4" a="1"/>
  <c r="H24" i="4" s="1"/>
  <c r="F24" i="4" a="1"/>
  <c r="F24" i="4" s="1"/>
  <c r="D24" i="4"/>
  <c r="C24" i="4" a="1"/>
  <c r="C24" i="4"/>
  <c r="B24" i="4"/>
  <c r="M24" i="4" s="1" a="1"/>
  <c r="AJ23" i="4" a="1"/>
  <c r="AJ23" i="4"/>
  <c r="AG23" i="4"/>
  <c r="AD23" i="4"/>
  <c r="AC23" i="4"/>
  <c r="Y23" i="4"/>
  <c r="X23" i="4"/>
  <c r="U23" i="4"/>
  <c r="T23" i="4" a="1"/>
  <c r="T23" i="4" s="1"/>
  <c r="M23" i="4" a="1"/>
  <c r="M23" i="4" s="1"/>
  <c r="D23" i="4"/>
  <c r="C23" i="4" a="1"/>
  <c r="C23" i="4" s="1"/>
  <c r="B23" i="4"/>
  <c r="AG22" i="4"/>
  <c r="AD22" i="4"/>
  <c r="AC22" i="4"/>
  <c r="Y22" i="4"/>
  <c r="X22" i="4"/>
  <c r="U22" i="4"/>
  <c r="D22" i="4"/>
  <c r="B22" i="4"/>
  <c r="Q22" i="4" s="1" a="1"/>
  <c r="Q22" i="4" s="1"/>
  <c r="AJ21" i="4" a="1"/>
  <c r="AJ21" i="4" s="1"/>
  <c r="AI21" i="4" a="1"/>
  <c r="AI21" i="4" s="1"/>
  <c r="AG21" i="4"/>
  <c r="AE21" i="4" a="1"/>
  <c r="AE21" i="4"/>
  <c r="AD21" i="4"/>
  <c r="AC21" i="4"/>
  <c r="Y21" i="4"/>
  <c r="X21" i="4"/>
  <c r="U21" i="4"/>
  <c r="Q21" i="4" a="1"/>
  <c r="Q21" i="4" s="1"/>
  <c r="M21" i="4" a="1"/>
  <c r="M21" i="4" s="1"/>
  <c r="H21" i="4" a="1"/>
  <c r="H21" i="4" s="1"/>
  <c r="F21" i="4" a="1"/>
  <c r="F21" i="4"/>
  <c r="D21" i="4"/>
  <c r="B21" i="4"/>
  <c r="AJ20" i="4" a="1"/>
  <c r="AJ20" i="4"/>
  <c r="AI20" i="4" a="1"/>
  <c r="AI20" i="4"/>
  <c r="AG20" i="4"/>
  <c r="AE20" i="4" a="1"/>
  <c r="AE20" i="4" s="1"/>
  <c r="AD20" i="4"/>
  <c r="AC20" i="4"/>
  <c r="Y20" i="4"/>
  <c r="X20" i="4"/>
  <c r="U20" i="4"/>
  <c r="T20" i="4" a="1"/>
  <c r="T20" i="4" s="1"/>
  <c r="Q20" i="4" a="1"/>
  <c r="Q20" i="4" s="1"/>
  <c r="H20" i="4" a="1"/>
  <c r="H20" i="4" s="1"/>
  <c r="F20" i="4" a="1"/>
  <c r="F20" i="4" s="1"/>
  <c r="D20" i="4"/>
  <c r="C20" i="4" a="1"/>
  <c r="C20" i="4"/>
  <c r="B20" i="4"/>
  <c r="M20" i="4" s="1" a="1"/>
  <c r="M20" i="4" s="1"/>
  <c r="AG19" i="4"/>
  <c r="AD19" i="4"/>
  <c r="AC19" i="4"/>
  <c r="Y19" i="4"/>
  <c r="X19" i="4"/>
  <c r="U19" i="4"/>
  <c r="H19" i="4" a="1"/>
  <c r="H19" i="4" s="1"/>
  <c r="D19" i="4"/>
  <c r="B19" i="4"/>
  <c r="AI18" i="4" a="1"/>
  <c r="AI18" i="4" s="1"/>
  <c r="AG18" i="4"/>
  <c r="AE18" i="4" a="1"/>
  <c r="AE18" i="4"/>
  <c r="AD18" i="4"/>
  <c r="AC18" i="4"/>
  <c r="Y18" i="4"/>
  <c r="X18" i="4"/>
  <c r="U18" i="4"/>
  <c r="T18" i="4" a="1"/>
  <c r="T18" i="4" s="1"/>
  <c r="Q18" i="4" a="1"/>
  <c r="Q18" i="4"/>
  <c r="F18" i="4" a="1"/>
  <c r="F18" i="4"/>
  <c r="D18" i="4"/>
  <c r="C18" i="4" a="1"/>
  <c r="C18" i="4" s="1"/>
  <c r="B18" i="4"/>
  <c r="AJ18" i="4" s="1" a="1"/>
  <c r="AJ18" i="4" s="1"/>
  <c r="AJ17" i="4" a="1"/>
  <c r="AJ17" i="4" s="1"/>
  <c r="AI17" i="4" a="1"/>
  <c r="AI17" i="4" s="1"/>
  <c r="AG17" i="4"/>
  <c r="AE17" i="4" a="1"/>
  <c r="AE17" i="4" s="1"/>
  <c r="AD17" i="4"/>
  <c r="AC17" i="4"/>
  <c r="Y17" i="4"/>
  <c r="X17" i="4"/>
  <c r="U17" i="4"/>
  <c r="Q17" i="4" a="1"/>
  <c r="Q17" i="4"/>
  <c r="F17" i="4" a="1"/>
  <c r="F17" i="4" s="1"/>
  <c r="D17" i="4"/>
  <c r="B17" i="4"/>
  <c r="M17" i="4" s="1" a="1"/>
  <c r="M17" i="4" s="1"/>
  <c r="N17" i="4" s="1"/>
  <c r="AJ16" i="4" a="1"/>
  <c r="AJ16" i="4" s="1"/>
  <c r="AI16" i="4" a="1"/>
  <c r="AI16" i="4" s="1"/>
  <c r="AG16" i="4"/>
  <c r="AE16" i="4" a="1"/>
  <c r="AE16" i="4"/>
  <c r="AD16" i="4"/>
  <c r="AC16" i="4"/>
  <c r="Y16" i="4"/>
  <c r="X16" i="4"/>
  <c r="U16" i="4"/>
  <c r="T16" i="4" a="1"/>
  <c r="T16" i="4" s="1"/>
  <c r="Q16" i="4" a="1"/>
  <c r="Q16" i="4" s="1"/>
  <c r="N16" i="4"/>
  <c r="M16" i="4"/>
  <c r="O16" i="4" s="1"/>
  <c r="H16" i="4" a="1"/>
  <c r="H16" i="4" s="1"/>
  <c r="F16" i="4" a="1"/>
  <c r="F16" i="4"/>
  <c r="D16" i="4"/>
  <c r="C16" i="4" a="1"/>
  <c r="C16" i="4"/>
  <c r="B16" i="4"/>
  <c r="M16" i="4" s="1" a="1"/>
  <c r="AG15" i="4"/>
  <c r="AD15" i="4"/>
  <c r="AC15" i="4"/>
  <c r="Y15" i="4"/>
  <c r="X15" i="4"/>
  <c r="U15" i="4"/>
  <c r="M15" i="4" a="1"/>
  <c r="M15" i="4" s="1"/>
  <c r="N15" i="4" s="1"/>
  <c r="D15" i="4"/>
  <c r="B15" i="4"/>
  <c r="T15" i="4" s="1" a="1"/>
  <c r="T15" i="4" s="1"/>
  <c r="AG14" i="4"/>
  <c r="AD14" i="4"/>
  <c r="AC14" i="4"/>
  <c r="Y14" i="4"/>
  <c r="X14" i="4"/>
  <c r="U14" i="4"/>
  <c r="Q14" i="4" a="1"/>
  <c r="Q14" i="4" s="1"/>
  <c r="M14" i="4" a="1"/>
  <c r="M14" i="4" s="1"/>
  <c r="F14" i="4" a="1"/>
  <c r="F14" i="4" s="1"/>
  <c r="D14" i="4"/>
  <c r="B14" i="4"/>
  <c r="AE14" i="4" s="1" a="1"/>
  <c r="AE14" i="4" s="1"/>
  <c r="AJ13" i="4" a="1"/>
  <c r="AJ13" i="4" s="1"/>
  <c r="AG13" i="4"/>
  <c r="B7" i="5" s="1" a="1"/>
  <c r="B7" i="5" s="1"/>
  <c r="AE13" i="4" a="1"/>
  <c r="AE13" i="4"/>
  <c r="AD13" i="4"/>
  <c r="AC13" i="4"/>
  <c r="Y13" i="4"/>
  <c r="X13" i="4"/>
  <c r="U13" i="4"/>
  <c r="T13" i="4" a="1"/>
  <c r="T13" i="4" s="1"/>
  <c r="Q13" i="4" a="1"/>
  <c r="Q13" i="4"/>
  <c r="J13" i="4" a="1"/>
  <c r="J13" i="4" s="1"/>
  <c r="K13" i="4" s="1"/>
  <c r="F13" i="4" a="1"/>
  <c r="F13" i="4"/>
  <c r="D13" i="4"/>
  <c r="C13" i="4" a="1"/>
  <c r="C13" i="4" s="1"/>
  <c r="B13" i="4"/>
  <c r="AI13" i="4" s="1" a="1"/>
  <c r="AI13" i="4" s="1"/>
  <c r="AG12" i="4"/>
  <c r="AD12" i="4"/>
  <c r="AC12" i="4"/>
  <c r="Y12" i="4"/>
  <c r="X12" i="4"/>
  <c r="U12" i="4"/>
  <c r="J12" i="4" a="1"/>
  <c r="J12" i="4"/>
  <c r="K12" i="4" s="1"/>
  <c r="D12" i="4"/>
  <c r="B12" i="4"/>
  <c r="C12" i="4" s="1" a="1"/>
  <c r="C12" i="4" s="1"/>
  <c r="AG11" i="4"/>
  <c r="AD11" i="4"/>
  <c r="AC11" i="4"/>
  <c r="Y11" i="4"/>
  <c r="X11" i="4"/>
  <c r="U11" i="4"/>
  <c r="Q11" i="4" a="1"/>
  <c r="Q11" i="4" s="1"/>
  <c r="J11" i="4" a="1"/>
  <c r="J11" i="4" s="1"/>
  <c r="K11" i="4" s="1"/>
  <c r="H11" i="4" a="1"/>
  <c r="H11" i="4"/>
  <c r="D11" i="4"/>
  <c r="B11" i="4"/>
  <c r="AE11" i="4" s="1" a="1"/>
  <c r="AE11" i="4" s="1"/>
  <c r="AG10" i="4"/>
  <c r="AD10" i="4"/>
  <c r="AC10" i="4"/>
  <c r="Y10" i="4"/>
  <c r="X10" i="4"/>
  <c r="U10" i="4"/>
  <c r="M10" i="4" a="1"/>
  <c r="M10" i="4" s="1"/>
  <c r="J10" i="4" a="1"/>
  <c r="J10" i="4" s="1"/>
  <c r="K10" i="4" s="1"/>
  <c r="D10" i="4"/>
  <c r="B10" i="4"/>
  <c r="AE10" i="4" s="1" a="1"/>
  <c r="AE10" i="4" s="1"/>
  <c r="AJ9" i="4" a="1"/>
  <c r="AJ9" i="4"/>
  <c r="AG9" i="4"/>
  <c r="AD9" i="4"/>
  <c r="AC9" i="4"/>
  <c r="Y9" i="4"/>
  <c r="X9" i="4"/>
  <c r="U9" i="4"/>
  <c r="Q9" i="4" a="1"/>
  <c r="Q9" i="4" s="1"/>
  <c r="J9" i="4" a="1"/>
  <c r="J9" i="4" s="1"/>
  <c r="K9" i="4" s="1"/>
  <c r="D9" i="4"/>
  <c r="B9" i="4"/>
  <c r="AG8" i="4"/>
  <c r="AD8" i="4"/>
  <c r="AC8" i="4"/>
  <c r="Y8" i="4"/>
  <c r="X8" i="4"/>
  <c r="U8" i="4"/>
  <c r="Q8" i="4" a="1"/>
  <c r="Q8" i="4" s="1"/>
  <c r="J8" i="4" a="1"/>
  <c r="J8" i="4" s="1"/>
  <c r="K8" i="4" s="1"/>
  <c r="D8" i="4"/>
  <c r="B8" i="4"/>
  <c r="M8" i="4" s="1" a="1"/>
  <c r="M8" i="4" s="1"/>
  <c r="AG7" i="4"/>
  <c r="AD7" i="4"/>
  <c r="AC7" i="4"/>
  <c r="Y7" i="4"/>
  <c r="X7" i="4"/>
  <c r="U7" i="4"/>
  <c r="J7" i="4" a="1"/>
  <c r="J7" i="4"/>
  <c r="K7" i="4" s="1"/>
  <c r="D7" i="4"/>
  <c r="C7" i="4" a="1"/>
  <c r="C7" i="4"/>
  <c r="B7" i="4"/>
  <c r="H7" i="4" s="1" a="1"/>
  <c r="H7" i="4" s="1"/>
  <c r="AG6" i="4"/>
  <c r="AD6" i="4"/>
  <c r="AC6" i="4"/>
  <c r="Y6" i="4"/>
  <c r="X6" i="4"/>
  <c r="U6" i="4"/>
  <c r="T6" i="4" a="1"/>
  <c r="T6" i="4" s="1"/>
  <c r="M6" i="4" a="1"/>
  <c r="M6" i="4" s="1"/>
  <c r="J6" i="4" a="1"/>
  <c r="J6" i="4"/>
  <c r="K6" i="4" s="1"/>
  <c r="D6" i="4"/>
  <c r="C6" i="4" a="1"/>
  <c r="C6" i="4" s="1"/>
  <c r="B6" i="4"/>
  <c r="Q6" i="4" s="1" a="1"/>
  <c r="Q6" i="4" s="1"/>
  <c r="AG5" i="4"/>
  <c r="AD5" i="4"/>
  <c r="AC5" i="4"/>
  <c r="Y5" i="4"/>
  <c r="X5" i="4"/>
  <c r="U5" i="4"/>
  <c r="M5" i="4" a="1"/>
  <c r="M5" i="4" s="1"/>
  <c r="J5" i="4" a="1"/>
  <c r="J5" i="4"/>
  <c r="K5" i="4" s="1"/>
  <c r="D5" i="4"/>
  <c r="C5" i="4" a="1"/>
  <c r="C5" i="4"/>
  <c r="B5" i="4"/>
  <c r="T5" i="4" s="1" a="1"/>
  <c r="T5" i="4" s="1"/>
  <c r="AG4" i="4"/>
  <c r="AE4" i="4" a="1"/>
  <c r="AE4" i="4" s="1"/>
  <c r="AD4" i="4"/>
  <c r="AC4" i="4"/>
  <c r="Y4" i="4"/>
  <c r="X4" i="4"/>
  <c r="U4" i="4"/>
  <c r="Q4" i="4" a="1"/>
  <c r="Q4" i="4" s="1"/>
  <c r="J4" i="4" a="1"/>
  <c r="J4" i="4" s="1"/>
  <c r="K4" i="4" s="1"/>
  <c r="H4" i="4" a="1"/>
  <c r="H4" i="4" s="1"/>
  <c r="F4" i="4" a="1"/>
  <c r="F4" i="4" s="1"/>
  <c r="D4" i="4"/>
  <c r="C4" i="4" a="1"/>
  <c r="C4" i="4"/>
  <c r="B4" i="4"/>
  <c r="M4" i="4" s="1" a="1"/>
  <c r="M4" i="4" s="1"/>
  <c r="AJ3" i="4" a="1"/>
  <c r="AJ3" i="4"/>
  <c r="AI3" i="4" a="1"/>
  <c r="AI3" i="4"/>
  <c r="AG3" i="4"/>
  <c r="AE3" i="4" a="1"/>
  <c r="AE3" i="4"/>
  <c r="AD3" i="4"/>
  <c r="AC3" i="4"/>
  <c r="AA3" i="4"/>
  <c r="Y3" i="4"/>
  <c r="X3" i="4"/>
  <c r="U3" i="4"/>
  <c r="T3" i="4" a="1"/>
  <c r="T3" i="4" s="1"/>
  <c r="Q3" i="4" a="1"/>
  <c r="Q3" i="4"/>
  <c r="J3" i="4" a="1"/>
  <c r="J3" i="4" s="1"/>
  <c r="K3" i="4" s="1"/>
  <c r="H3" i="4" a="1"/>
  <c r="H3" i="4" s="1"/>
  <c r="F3" i="4" a="1"/>
  <c r="F3" i="4"/>
  <c r="D3" i="4"/>
  <c r="C3" i="4" a="1"/>
  <c r="C3" i="4" s="1"/>
  <c r="B3" i="4"/>
  <c r="M3" i="4" s="1" a="1"/>
  <c r="M3" i="4" s="1"/>
  <c r="AJ2" i="4" a="1"/>
  <c r="AJ2" i="4" s="1"/>
  <c r="AI2" i="4" a="1"/>
  <c r="AI2" i="4"/>
  <c r="AG2" i="4"/>
  <c r="AD2" i="4"/>
  <c r="AC2" i="4"/>
  <c r="AA5" i="4" s="1"/>
  <c r="AA2" i="4"/>
  <c r="Y2" i="4"/>
  <c r="X2" i="4"/>
  <c r="U2" i="4"/>
  <c r="T2" i="4" a="1"/>
  <c r="T2" i="4" s="1"/>
  <c r="J2" i="4" a="1"/>
  <c r="J2" i="4"/>
  <c r="K2" i="4" s="1"/>
  <c r="D2" i="4"/>
  <c r="C2" i="4" a="1"/>
  <c r="C2" i="4" s="1"/>
  <c r="B2" i="4"/>
  <c r="M2" i="4" s="1" a="1"/>
  <c r="M2" i="4" s="1"/>
  <c r="N3" i="4" l="1"/>
  <c r="O3" i="4" s="1"/>
  <c r="N5" i="4"/>
  <c r="O5" i="4" s="1"/>
  <c r="N2" i="4"/>
  <c r="O2" i="4"/>
  <c r="N6" i="4"/>
  <c r="O6" i="4" s="1"/>
  <c r="N10" i="4"/>
  <c r="O10" i="4" s="1"/>
  <c r="N8" i="4"/>
  <c r="O8" i="4" s="1"/>
  <c r="E2" i="4"/>
  <c r="N4" i="4"/>
  <c r="O4" i="4"/>
  <c r="O14" i="4"/>
  <c r="N14" i="4"/>
  <c r="AI9" i="4" a="1"/>
  <c r="AI9" i="4" s="1"/>
  <c r="H9" i="4" a="1"/>
  <c r="H9" i="4" s="1"/>
  <c r="AA4" i="4"/>
  <c r="T8" i="4" a="1"/>
  <c r="T8" i="4" s="1"/>
  <c r="F2" i="4" a="1"/>
  <c r="F2" i="4" s="1"/>
  <c r="Q2" i="4" a="1"/>
  <c r="Q2" i="4" s="1"/>
  <c r="AE2" i="4" a="1"/>
  <c r="AE2" i="4" s="1"/>
  <c r="T4" i="4" a="1"/>
  <c r="T4" i="4" s="1"/>
  <c r="F6" i="4" a="1"/>
  <c r="F6" i="4" s="1"/>
  <c r="M7" i="4" a="1"/>
  <c r="M7" i="4" s="1"/>
  <c r="T7" i="4" a="1"/>
  <c r="T7" i="4" s="1"/>
  <c r="C8" i="4" a="1"/>
  <c r="C8" i="4" s="1"/>
  <c r="AE8" i="4" a="1"/>
  <c r="AE8" i="4" s="1"/>
  <c r="M9" i="4" a="1"/>
  <c r="M9" i="4" s="1"/>
  <c r="F15" i="4" a="1"/>
  <c r="F15" i="4" s="1"/>
  <c r="Q15" i="4" a="1"/>
  <c r="Q15" i="4" s="1"/>
  <c r="AA15" i="4"/>
  <c r="AJ11" i="4" a="1"/>
  <c r="AJ11" i="4" s="1"/>
  <c r="AI11" i="4" a="1"/>
  <c r="AI11" i="4" s="1"/>
  <c r="T11" i="4" a="1"/>
  <c r="T11" i="4" s="1"/>
  <c r="O15" i="4"/>
  <c r="D46" i="5" a="1"/>
  <c r="D46" i="5" s="1"/>
  <c r="C46" i="5" a="1"/>
  <c r="C46" i="5" s="1"/>
  <c r="F46" i="5" a="1"/>
  <c r="F46" i="5" s="1"/>
  <c r="B46" i="5" a="1"/>
  <c r="B46" i="5" s="1"/>
  <c r="E46" i="5" a="1"/>
  <c r="E46" i="5" s="1"/>
  <c r="AI4" i="4" a="1"/>
  <c r="AI4" i="4" s="1"/>
  <c r="AJ5" i="4" a="1"/>
  <c r="AJ5" i="4" s="1"/>
  <c r="F7" i="4" a="1"/>
  <c r="F7" i="4" s="1"/>
  <c r="AE9" i="4" a="1"/>
  <c r="AE9" i="4" s="1"/>
  <c r="F10" i="4" a="1"/>
  <c r="F10" i="4" s="1"/>
  <c r="Q10" i="4" a="1"/>
  <c r="Q10" i="4" s="1"/>
  <c r="C11" i="4" a="1"/>
  <c r="C11" i="4" s="1"/>
  <c r="M11" i="4" a="1"/>
  <c r="M11" i="4" s="1"/>
  <c r="T12" i="4" a="1"/>
  <c r="T12" i="4" s="1"/>
  <c r="AA20" i="4"/>
  <c r="O21" i="4"/>
  <c r="N21" i="4"/>
  <c r="O26" i="4"/>
  <c r="F9" i="4" a="1"/>
  <c r="F9" i="4" s="1"/>
  <c r="H15" i="4" a="1"/>
  <c r="H15" i="4" s="1"/>
  <c r="F52" i="5" a="1"/>
  <c r="F52" i="5" s="1"/>
  <c r="B52" i="5" a="1"/>
  <c r="B52" i="5" s="1"/>
  <c r="AA61" i="4"/>
  <c r="E52" i="5" a="1"/>
  <c r="E52" i="5" s="1"/>
  <c r="D52" i="5" a="1"/>
  <c r="D52" i="5" s="1"/>
  <c r="C52" i="5" a="1"/>
  <c r="C52" i="5" s="1"/>
  <c r="AA60" i="4"/>
  <c r="AA56" i="4"/>
  <c r="AA55" i="4"/>
  <c r="AA53" i="4"/>
  <c r="AA49" i="4"/>
  <c r="AA54" i="4"/>
  <c r="AA58" i="4"/>
  <c r="AA59" i="4"/>
  <c r="AA57" i="4"/>
  <c r="AA52" i="4"/>
  <c r="AA46" i="4"/>
  <c r="AA48" i="4"/>
  <c r="AA44" i="4"/>
  <c r="AA47" i="4"/>
  <c r="AA45" i="4"/>
  <c r="AA41" i="4"/>
  <c r="AA37" i="4"/>
  <c r="AA33" i="4"/>
  <c r="AA50" i="4"/>
  <c r="F41" i="5" s="1"/>
  <c r="AA51" i="4"/>
  <c r="AA43" i="4"/>
  <c r="AA42" i="4"/>
  <c r="AA38" i="4"/>
  <c r="AA32" i="4"/>
  <c r="AA30" i="4"/>
  <c r="AA28" i="4"/>
  <c r="AA40" i="4"/>
  <c r="E23" i="5" s="1"/>
  <c r="AA35" i="4"/>
  <c r="AA27" i="4"/>
  <c r="D41" i="5" s="1"/>
  <c r="AA39" i="4"/>
  <c r="AA36" i="4"/>
  <c r="AA34" i="4"/>
  <c r="AA31" i="4"/>
  <c r="AA22" i="4"/>
  <c r="AA29" i="4"/>
  <c r="AA23" i="4"/>
  <c r="AA21" i="4"/>
  <c r="AA12" i="4"/>
  <c r="AA8" i="4"/>
  <c r="AA25" i="4"/>
  <c r="AA19" i="4"/>
  <c r="AA13" i="4"/>
  <c r="AA9" i="4"/>
  <c r="AA18" i="4"/>
  <c r="AA17" i="4"/>
  <c r="C41" i="5" s="1"/>
  <c r="AA24" i="4"/>
  <c r="AA14" i="4"/>
  <c r="AA10" i="4"/>
  <c r="AA26" i="4"/>
  <c r="AA16" i="4"/>
  <c r="AI5" i="4" a="1"/>
  <c r="AI5" i="4" s="1"/>
  <c r="H8" i="4" a="1"/>
  <c r="H8" i="4" s="1"/>
  <c r="AJ8" i="4" a="1"/>
  <c r="AJ8" i="4" s="1"/>
  <c r="E37" i="5"/>
  <c r="D21" i="5"/>
  <c r="D37" i="5"/>
  <c r="C21" i="5"/>
  <c r="E42" i="5"/>
  <c r="B37" i="5"/>
  <c r="D42" i="5"/>
  <c r="C42" i="5"/>
  <c r="C23" i="5"/>
  <c r="F17" i="5"/>
  <c r="B11" i="5"/>
  <c r="B42" i="5"/>
  <c r="G42" i="5" s="1"/>
  <c r="F21" i="5"/>
  <c r="E21" i="5"/>
  <c r="F37" i="5"/>
  <c r="B21" i="5"/>
  <c r="F42" i="5"/>
  <c r="C37" i="5"/>
  <c r="D23" i="5"/>
  <c r="B12" i="5"/>
  <c r="F5" i="4" a="1"/>
  <c r="F5" i="4" s="1"/>
  <c r="Q5" i="4" a="1"/>
  <c r="Q5" i="4" s="1"/>
  <c r="AE5" i="4" a="1"/>
  <c r="AE5" i="4" s="1"/>
  <c r="B38" i="5" s="1"/>
  <c r="AJ6" i="4" a="1"/>
  <c r="AJ6" i="4" s="1"/>
  <c r="AI6" i="4" a="1"/>
  <c r="AI6" i="4" s="1"/>
  <c r="AA6" i="4"/>
  <c r="B41" i="5" s="1"/>
  <c r="AE7" i="4" a="1"/>
  <c r="AE7" i="4" s="1"/>
  <c r="H2" i="4" a="1"/>
  <c r="H2" i="4" s="1"/>
  <c r="AJ4" i="4" a="1"/>
  <c r="AJ4" i="4" s="1"/>
  <c r="H6" i="4" a="1"/>
  <c r="H6" i="4" s="1"/>
  <c r="F8" i="4" a="1"/>
  <c r="F8" i="4" s="1"/>
  <c r="AI8" i="4" a="1"/>
  <c r="AI8" i="4" s="1"/>
  <c r="F11" i="4" a="1"/>
  <c r="F11" i="4" s="1"/>
  <c r="AJ14" i="4" a="1"/>
  <c r="AJ14" i="4" s="1"/>
  <c r="AI14" i="4" a="1"/>
  <c r="AI14" i="4" s="1"/>
  <c r="T14" i="4" a="1"/>
  <c r="T14" i="4" s="1"/>
  <c r="C17" i="5" s="1"/>
  <c r="C14" i="4" a="1"/>
  <c r="C14" i="4" s="1"/>
  <c r="H14" i="4" a="1"/>
  <c r="H14" i="4" s="1"/>
  <c r="AE19" i="4" a="1"/>
  <c r="AE19" i="4" s="1"/>
  <c r="Q19" i="4" a="1"/>
  <c r="Q19" i="4" s="1"/>
  <c r="F19" i="4" a="1"/>
  <c r="F19" i="4" s="1"/>
  <c r="AI19" i="4" a="1"/>
  <c r="AI19" i="4" s="1"/>
  <c r="AJ19" i="4" a="1"/>
  <c r="AJ19" i="4" s="1"/>
  <c r="T19" i="4" a="1"/>
  <c r="T19" i="4" s="1"/>
  <c r="M19" i="4" a="1"/>
  <c r="M19" i="4" s="1"/>
  <c r="C19" i="4" a="1"/>
  <c r="C19" i="4" s="1"/>
  <c r="N20" i="4"/>
  <c r="O20" i="4" s="1"/>
  <c r="AI27" i="4" a="1"/>
  <c r="AI27" i="4" s="1"/>
  <c r="M27" i="4" a="1"/>
  <c r="M27" i="4" s="1"/>
  <c r="Q27" i="4" a="1"/>
  <c r="Q27" i="4" s="1"/>
  <c r="AE27" i="4" a="1"/>
  <c r="AE27" i="4" s="1"/>
  <c r="C27" i="4" a="1"/>
  <c r="C27" i="4" s="1"/>
  <c r="H27" i="4" a="1"/>
  <c r="H27" i="4" s="1"/>
  <c r="F27" i="4" a="1"/>
  <c r="F27" i="4" s="1"/>
  <c r="T27" i="4" a="1"/>
  <c r="T27" i="4" s="1"/>
  <c r="AJ7" i="4" a="1"/>
  <c r="AJ7" i="4" s="1"/>
  <c r="AI7" i="4" a="1"/>
  <c r="AI7" i="4" s="1"/>
  <c r="AA11" i="4"/>
  <c r="H12" i="4" a="1"/>
  <c r="H12" i="4" s="1"/>
  <c r="AE12" i="4" a="1"/>
  <c r="AE12" i="4" s="1"/>
  <c r="Q12" i="4" a="1"/>
  <c r="Q12" i="4" s="1"/>
  <c r="F12" i="4" a="1"/>
  <c r="F12" i="4" s="1"/>
  <c r="AJ12" i="4" a="1"/>
  <c r="AJ12" i="4" s="1"/>
  <c r="M12" i="4" a="1"/>
  <c r="M12" i="4" s="1"/>
  <c r="AI12" i="4" a="1"/>
  <c r="AI12" i="4" s="1"/>
  <c r="AE15" i="4" a="1"/>
  <c r="AE15" i="4" s="1"/>
  <c r="AJ15" i="4" a="1"/>
  <c r="AJ15" i="4" s="1"/>
  <c r="AI15" i="4" a="1"/>
  <c r="AI15" i="4" s="1"/>
  <c r="N23" i="4"/>
  <c r="O23" i="4" s="1"/>
  <c r="O30" i="4"/>
  <c r="N30" i="4"/>
  <c r="O35" i="4"/>
  <c r="N35" i="4"/>
  <c r="H5" i="4" a="1"/>
  <c r="H5" i="4" s="1"/>
  <c r="Q7" i="4" a="1"/>
  <c r="Q7" i="4" s="1"/>
  <c r="O17" i="4"/>
  <c r="H22" i="4" a="1"/>
  <c r="H22" i="4" s="1"/>
  <c r="AE22" i="4" a="1"/>
  <c r="AE22" i="4" s="1"/>
  <c r="M22" i="4" a="1"/>
  <c r="M22" i="4" s="1"/>
  <c r="F22" i="4" a="1"/>
  <c r="F22" i="4" s="1"/>
  <c r="T22" i="4" a="1"/>
  <c r="T22" i="4" s="1"/>
  <c r="AJ22" i="4" a="1"/>
  <c r="AJ22" i="4" s="1"/>
  <c r="AI22" i="4" a="1"/>
  <c r="AI22" i="4" s="1"/>
  <c r="C22" i="4" a="1"/>
  <c r="C22" i="4" s="1"/>
  <c r="AE6" i="4" a="1"/>
  <c r="AE6" i="4" s="1"/>
  <c r="AA7" i="4"/>
  <c r="B23" i="5" s="1"/>
  <c r="C9" i="4" a="1"/>
  <c r="C9" i="4" s="1"/>
  <c r="T9" i="4" a="1"/>
  <c r="T9" i="4" s="1"/>
  <c r="B17" i="5" s="1"/>
  <c r="G17" i="5" s="1"/>
  <c r="AJ10" i="4" a="1"/>
  <c r="AJ10" i="4" s="1"/>
  <c r="AI10" i="4" a="1"/>
  <c r="AI10" i="4" s="1"/>
  <c r="T10" i="4" a="1"/>
  <c r="T10" i="4" s="1"/>
  <c r="C10" i="4" a="1"/>
  <c r="C10" i="4" s="1"/>
  <c r="H10" i="4" a="1"/>
  <c r="H10" i="4" s="1"/>
  <c r="C15" i="4" a="1"/>
  <c r="C15" i="4" s="1"/>
  <c r="O29" i="4"/>
  <c r="N29" i="4"/>
  <c r="O31" i="4"/>
  <c r="N31" i="4"/>
  <c r="M13" i="4" a="1"/>
  <c r="M13" i="4" s="1"/>
  <c r="AE23" i="4" a="1"/>
  <c r="AE23" i="4" s="1"/>
  <c r="Q23" i="4" a="1"/>
  <c r="Q23" i="4" s="1"/>
  <c r="F23" i="4" a="1"/>
  <c r="F23" i="4" s="1"/>
  <c r="AI23" i="4" a="1"/>
  <c r="AI23" i="4" s="1"/>
  <c r="H23" i="4" a="1"/>
  <c r="H23" i="4" s="1"/>
  <c r="O32" i="4"/>
  <c r="N32" i="4"/>
  <c r="N50" i="4"/>
  <c r="O50" i="4" s="1"/>
  <c r="H13" i="4" a="1"/>
  <c r="H13" i="4" s="1"/>
  <c r="M18" i="4" a="1"/>
  <c r="M18" i="4" s="1"/>
  <c r="T21" i="4" a="1"/>
  <c r="T21" i="4" s="1"/>
  <c r="C21" i="4" a="1"/>
  <c r="C21" i="4" s="1"/>
  <c r="N48" i="4"/>
  <c r="O48" i="4" s="1"/>
  <c r="O43" i="4"/>
  <c r="N43" i="4"/>
  <c r="T17" i="4" a="1"/>
  <c r="T17" i="4" s="1"/>
  <c r="C17" i="4" a="1"/>
  <c r="C17" i="4" s="1"/>
  <c r="H17" i="4" a="1"/>
  <c r="H17" i="4" s="1"/>
  <c r="H18" i="4" a="1"/>
  <c r="H18" i="4" s="1"/>
  <c r="T26" i="4" a="1"/>
  <c r="T26" i="4" s="1"/>
  <c r="D17" i="5" s="1"/>
  <c r="C26" i="4" a="1"/>
  <c r="C26" i="4" s="1"/>
  <c r="AE26" i="4" a="1"/>
  <c r="AE26" i="4" s="1"/>
  <c r="AI26" i="4" a="1"/>
  <c r="AI26" i="4" s="1"/>
  <c r="N28" i="4"/>
  <c r="O28" i="4" s="1"/>
  <c r="N34" i="4"/>
  <c r="O34" i="4" s="1"/>
  <c r="AE28" i="4" a="1"/>
  <c r="AE28" i="4" s="1"/>
  <c r="Q28" i="4" a="1"/>
  <c r="Q28" i="4" s="1"/>
  <c r="F28" i="4" a="1"/>
  <c r="F28" i="4" s="1"/>
  <c r="H28" i="4" a="1"/>
  <c r="H28" i="4" s="1"/>
  <c r="F30" i="4" a="1"/>
  <c r="F30" i="4" s="1"/>
  <c r="Q31" i="4" a="1"/>
  <c r="Q31" i="4" s="1"/>
  <c r="AE35" i="4" a="1"/>
  <c r="AE35" i="4" s="1"/>
  <c r="C36" i="4" a="1"/>
  <c r="C36" i="4" s="1"/>
  <c r="M39" i="4" a="1"/>
  <c r="M39" i="4" s="1"/>
  <c r="AJ39" i="4" a="1"/>
  <c r="AJ39" i="4" s="1"/>
  <c r="T39" i="4" a="1"/>
  <c r="T39" i="4" s="1"/>
  <c r="C39" i="4" a="1"/>
  <c r="C39" i="4" s="1"/>
  <c r="M25" i="4" a="1"/>
  <c r="M25" i="4" s="1"/>
  <c r="AI36" i="4" a="1"/>
  <c r="AI36" i="4" s="1"/>
  <c r="AJ34" i="4" a="1"/>
  <c r="AJ34" i="4" s="1"/>
  <c r="M36" i="4" a="1"/>
  <c r="M36" i="4" s="1"/>
  <c r="T36" i="4" a="1"/>
  <c r="T36" i="4" s="1"/>
  <c r="T40" i="4" a="1"/>
  <c r="T40" i="4" s="1"/>
  <c r="C40" i="4" a="1"/>
  <c r="C40" i="4" s="1"/>
  <c r="AE40" i="4" a="1"/>
  <c r="AE40" i="4" s="1"/>
  <c r="Q40" i="4" a="1"/>
  <c r="Q40" i="4" s="1"/>
  <c r="F40" i="4" a="1"/>
  <c r="F40" i="4" s="1"/>
  <c r="M40" i="4" a="1"/>
  <c r="M40" i="4" s="1"/>
  <c r="T45" i="4" a="1"/>
  <c r="T45" i="4" s="1"/>
  <c r="C45" i="4" a="1"/>
  <c r="C45" i="4" s="1"/>
  <c r="AE45" i="4" a="1"/>
  <c r="AE45" i="4" s="1"/>
  <c r="Q45" i="4" a="1"/>
  <c r="Q45" i="4" s="1"/>
  <c r="F45" i="4" a="1"/>
  <c r="F45" i="4" s="1"/>
  <c r="M45" i="4" a="1"/>
  <c r="M45" i="4" s="1"/>
  <c r="AJ45" i="4" a="1"/>
  <c r="AJ45" i="4" s="1"/>
  <c r="AI45" i="4" a="1"/>
  <c r="AI45" i="4" s="1"/>
  <c r="H45" i="4" a="1"/>
  <c r="H45" i="4" s="1"/>
  <c r="C25" i="4" a="1"/>
  <c r="C25" i="4" s="1"/>
  <c r="AI30" i="4" a="1"/>
  <c r="AI30" i="4" s="1"/>
  <c r="T30" i="4" a="1"/>
  <c r="T30" i="4" s="1"/>
  <c r="C30" i="4" a="1"/>
  <c r="C30" i="4" s="1"/>
  <c r="H30" i="4" a="1"/>
  <c r="H30" i="4" s="1"/>
  <c r="AE32" i="4" a="1"/>
  <c r="AE32" i="4" s="1"/>
  <c r="Q32" i="4" a="1"/>
  <c r="Q32" i="4" s="1"/>
  <c r="F32" i="4" a="1"/>
  <c r="F32" i="4" s="1"/>
  <c r="F34" i="4" a="1"/>
  <c r="F34" i="4" s="1"/>
  <c r="Q35" i="4" a="1"/>
  <c r="Q35" i="4" s="1"/>
  <c r="F39" i="4" a="1"/>
  <c r="F39" i="4" s="1"/>
  <c r="AI40" i="4" a="1"/>
  <c r="AI40" i="4" s="1"/>
  <c r="N46" i="4"/>
  <c r="O46" i="4" s="1"/>
  <c r="AI34" i="4" a="1"/>
  <c r="AI34" i="4" s="1"/>
  <c r="T34" i="4" a="1"/>
  <c r="T34" i="4" s="1"/>
  <c r="C34" i="4" a="1"/>
  <c r="C34" i="4" s="1"/>
  <c r="H34" i="4" a="1"/>
  <c r="H34" i="4" s="1"/>
  <c r="AE36" i="4" a="1"/>
  <c r="AE36" i="4" s="1"/>
  <c r="Q36" i="4" a="1"/>
  <c r="Q36" i="4" s="1"/>
  <c r="F36" i="4" a="1"/>
  <c r="F36" i="4" s="1"/>
  <c r="AI43" i="4" a="1"/>
  <c r="AI43" i="4" s="1"/>
  <c r="M38" i="4" a="1"/>
  <c r="M38" i="4" s="1"/>
  <c r="M42" i="4" a="1"/>
  <c r="M42" i="4" s="1"/>
  <c r="C43" i="4" a="1"/>
  <c r="C43" i="4" s="1"/>
  <c r="T43" i="4" a="1"/>
  <c r="T43" i="4" s="1"/>
  <c r="N54" i="4"/>
  <c r="O54" i="4" s="1"/>
  <c r="N57" i="4"/>
  <c r="O57" i="4" s="1"/>
  <c r="M37" i="4" a="1"/>
  <c r="M37" i="4" s="1"/>
  <c r="C38" i="4" a="1"/>
  <c r="C38" i="4" s="1"/>
  <c r="T38" i="4" a="1"/>
  <c r="T38" i="4" s="1"/>
  <c r="E17" i="5" s="1"/>
  <c r="M41" i="4" a="1"/>
  <c r="M41" i="4" s="1"/>
  <c r="C42" i="4" a="1"/>
  <c r="C42" i="4" s="1"/>
  <c r="T42" i="4" a="1"/>
  <c r="T42" i="4" s="1"/>
  <c r="H44" i="4" a="1"/>
  <c r="H44" i="4" s="1"/>
  <c r="AE47" i="4" a="1"/>
  <c r="AE47" i="4" s="1"/>
  <c r="Q47" i="4" a="1"/>
  <c r="Q47" i="4" s="1"/>
  <c r="F47" i="4" a="1"/>
  <c r="F47" i="4" s="1"/>
  <c r="T47" i="4" a="1"/>
  <c r="T47" i="4" s="1"/>
  <c r="C47" i="4" a="1"/>
  <c r="C47" i="4" s="1"/>
  <c r="AE43" i="4" a="1"/>
  <c r="AE43" i="4" s="1"/>
  <c r="O47" i="4"/>
  <c r="N58" i="4"/>
  <c r="O58" i="4" s="1"/>
  <c r="T49" i="4" a="1"/>
  <c r="T49" i="4" s="1"/>
  <c r="C49" i="4" a="1"/>
  <c r="C49" i="4" s="1"/>
  <c r="H49" i="4" a="1"/>
  <c r="H49" i="4" s="1"/>
  <c r="Q49" i="4" a="1"/>
  <c r="Q49" i="4" s="1"/>
  <c r="F49" i="4" a="1"/>
  <c r="F49" i="4" s="1"/>
  <c r="M49" i="4" a="1"/>
  <c r="M49" i="4" s="1"/>
  <c r="AJ49" i="4" a="1"/>
  <c r="AJ49" i="4" s="1"/>
  <c r="N52" i="4"/>
  <c r="O52" i="4" s="1"/>
  <c r="AI53" i="4" a="1"/>
  <c r="AI53" i="4" s="1"/>
  <c r="M55" i="4" a="1"/>
  <c r="M55" i="4" s="1"/>
  <c r="M56" i="4" a="1"/>
  <c r="M56" i="4" s="1"/>
  <c r="M51" i="4" a="1"/>
  <c r="M51" i="4" s="1"/>
  <c r="AJ55" i="4" a="1"/>
  <c r="AJ55" i="4" s="1"/>
  <c r="T56" i="4" a="1"/>
  <c r="T56" i="4" s="1"/>
  <c r="AI56" i="4" a="1"/>
  <c r="AI56" i="4" s="1"/>
  <c r="H56" i="4" a="1"/>
  <c r="H56" i="4" s="1"/>
  <c r="AJ56" i="4" a="1"/>
  <c r="AJ56" i="4" s="1"/>
  <c r="C51" i="4" a="1"/>
  <c r="C51" i="4" s="1"/>
  <c r="T51" i="4" a="1"/>
  <c r="T51" i="4" s="1"/>
  <c r="F53" i="4" a="1"/>
  <c r="F53" i="4" s="1"/>
  <c r="Q53" i="4" a="1"/>
  <c r="Q53" i="4" s="1"/>
  <c r="AE53" i="4" a="1"/>
  <c r="AE53" i="4" s="1"/>
  <c r="C55" i="4" a="1"/>
  <c r="C55" i="4" s="1"/>
  <c r="AE55" i="4" a="1"/>
  <c r="AE55" i="4" s="1"/>
  <c r="AE57" i="4" a="1"/>
  <c r="AE57" i="4" s="1"/>
  <c r="Q57" i="4" a="1"/>
  <c r="Q57" i="4" s="1"/>
  <c r="F57" i="4" a="1"/>
  <c r="F57" i="4" s="1"/>
  <c r="H57" i="4" a="1"/>
  <c r="H57" i="4" s="1"/>
  <c r="AE60" i="4" a="1"/>
  <c r="AE60" i="4" s="1"/>
  <c r="Q60" i="4" a="1"/>
  <c r="Q60" i="4" s="1"/>
  <c r="T60" i="4" a="1"/>
  <c r="T60" i="4" s="1"/>
  <c r="C60" i="4" a="1"/>
  <c r="C60" i="4" s="1"/>
  <c r="H60" i="4" a="1"/>
  <c r="H60" i="4" s="1"/>
  <c r="AI60" i="4" a="1"/>
  <c r="AI60" i="4" s="1"/>
  <c r="M53" i="4" a="1"/>
  <c r="M53" i="4" s="1"/>
  <c r="Q56" i="4" a="1"/>
  <c r="Q56" i="4" s="1"/>
  <c r="M60" i="4" a="1"/>
  <c r="M60" i="4" s="1"/>
  <c r="AJ51" i="4" a="1"/>
  <c r="AJ51" i="4" s="1"/>
  <c r="H53" i="4" a="1"/>
  <c r="H53" i="4" s="1"/>
  <c r="F60" i="4" a="1"/>
  <c r="F60" i="4" s="1"/>
  <c r="F51" i="4" a="1"/>
  <c r="F51" i="4" s="1"/>
  <c r="Q51" i="4" a="1"/>
  <c r="Q51" i="4" s="1"/>
  <c r="C53" i="4" a="1"/>
  <c r="C53" i="4" s="1"/>
  <c r="F55" i="4" a="1"/>
  <c r="F55" i="4" s="1"/>
  <c r="AI55" i="4" a="1"/>
  <c r="AI55" i="4" s="1"/>
  <c r="T59" i="4" a="1"/>
  <c r="T59" i="4" s="1"/>
  <c r="C59" i="4" a="1"/>
  <c r="C59" i="4" s="1"/>
  <c r="M59" i="4" a="1"/>
  <c r="M59" i="4" s="1"/>
  <c r="H59" i="4" a="1"/>
  <c r="H59" i="4" s="1"/>
  <c r="AI61" i="4" a="1"/>
  <c r="AI61" i="4" s="1"/>
  <c r="F61" i="4" a="1"/>
  <c r="F61" i="4" s="1"/>
  <c r="Q61" i="4" a="1"/>
  <c r="Q61" i="4" s="1"/>
  <c r="M61" i="4" a="1"/>
  <c r="M61" i="4" s="1"/>
  <c r="G23" i="5" l="1"/>
  <c r="O55" i="4"/>
  <c r="N55" i="4"/>
  <c r="N25" i="4"/>
  <c r="O25" i="4" s="1"/>
  <c r="N19" i="4"/>
  <c r="O19" i="4"/>
  <c r="E41" i="5"/>
  <c r="G41" i="5" s="1"/>
  <c r="N41" i="4"/>
  <c r="O41" i="4"/>
  <c r="O36" i="4"/>
  <c r="N36" i="4"/>
  <c r="N18" i="4"/>
  <c r="O18" i="4" s="1"/>
  <c r="G21" i="5"/>
  <c r="N11" i="4"/>
  <c r="O11" i="4" s="1"/>
  <c r="N7" i="4"/>
  <c r="O7" i="4" s="1"/>
  <c r="N40" i="4"/>
  <c r="O40" i="4" s="1"/>
  <c r="F23" i="5"/>
  <c r="E3" i="4"/>
  <c r="G2" i="4"/>
  <c r="O60" i="4"/>
  <c r="N60" i="4"/>
  <c r="N39" i="4"/>
  <c r="O39" i="4" s="1"/>
  <c r="N22" i="4"/>
  <c r="O22" i="4"/>
  <c r="N12" i="4"/>
  <c r="O12" i="4" s="1"/>
  <c r="N27" i="4"/>
  <c r="O27" i="4" s="1"/>
  <c r="N37" i="4"/>
  <c r="O37" i="4" s="1"/>
  <c r="N42" i="4"/>
  <c r="O42" i="4" s="1"/>
  <c r="O45" i="4"/>
  <c r="N45" i="4"/>
  <c r="N61" i="4"/>
  <c r="O61" i="4"/>
  <c r="N53" i="4"/>
  <c r="O53" i="4" s="1"/>
  <c r="N49" i="4"/>
  <c r="O49" i="4" s="1"/>
  <c r="N38" i="4"/>
  <c r="O38" i="4" s="1"/>
  <c r="N13" i="4"/>
  <c r="O13" i="4"/>
  <c r="N9" i="4"/>
  <c r="O9" i="4"/>
  <c r="O51" i="4"/>
  <c r="N51" i="4"/>
  <c r="N59" i="4"/>
  <c r="O59" i="4" s="1"/>
  <c r="N56" i="4"/>
  <c r="O56" i="4" s="1"/>
  <c r="G37" i="5"/>
  <c r="B14" i="5" l="1"/>
  <c r="E14" i="5"/>
  <c r="C14" i="5"/>
  <c r="D14" i="5"/>
  <c r="F14" i="5"/>
  <c r="E4" i="4"/>
  <c r="G3" i="4"/>
  <c r="R2" i="4"/>
  <c r="I2" i="4"/>
  <c r="L2" i="4" l="1"/>
  <c r="I3" i="4"/>
  <c r="L3" i="4" s="1"/>
  <c r="R3" i="4"/>
  <c r="G4" i="4"/>
  <c r="E5" i="4"/>
  <c r="G14" i="5"/>
  <c r="E6" i="4" l="1"/>
  <c r="G5" i="4"/>
  <c r="S3" i="4"/>
  <c r="P3" i="4" a="1"/>
  <c r="P3" i="4" s="1"/>
  <c r="V3" i="4" s="1"/>
  <c r="W3" i="4" s="1"/>
  <c r="I4" i="4"/>
  <c r="L4" i="4" s="1"/>
  <c r="R4" i="4"/>
  <c r="S2" i="4"/>
  <c r="P2" i="4" a="1"/>
  <c r="P2" i="4" s="1"/>
  <c r="Z3" i="4" l="1"/>
  <c r="AB3" i="4" s="1"/>
  <c r="S4" i="4"/>
  <c r="P4" i="4" a="1"/>
  <c r="P4" i="4" s="1"/>
  <c r="V4" i="4" s="1"/>
  <c r="W4" i="4" s="1"/>
  <c r="I5" i="4"/>
  <c r="R5" i="4"/>
  <c r="V2" i="4"/>
  <c r="G6" i="4"/>
  <c r="E7" i="4"/>
  <c r="Z4" i="4" l="1"/>
  <c r="AB4" i="4" s="1"/>
  <c r="C33" i="6"/>
  <c r="B33" i="6"/>
  <c r="D33" i="6"/>
  <c r="W2" i="4"/>
  <c r="AF2" i="4"/>
  <c r="I6" i="4"/>
  <c r="L6" i="4" s="1"/>
  <c r="R6" i="4"/>
  <c r="L5" i="4"/>
  <c r="G7" i="4"/>
  <c r="E8" i="4"/>
  <c r="G8" i="4" l="1"/>
  <c r="E9" i="4"/>
  <c r="R7" i="4"/>
  <c r="I7" i="4"/>
  <c r="Z2" i="4"/>
  <c r="AF3" i="4"/>
  <c r="AF4" i="4" s="1"/>
  <c r="S5" i="4"/>
  <c r="P5" i="4" a="1"/>
  <c r="P5" i="4" s="1"/>
  <c r="S6" i="4"/>
  <c r="P6" i="4" a="1"/>
  <c r="P6" i="4" s="1"/>
  <c r="V6" i="4" s="1"/>
  <c r="W6" i="4" s="1"/>
  <c r="Z6" i="4" l="1"/>
  <c r="AB6" i="4" s="1"/>
  <c r="V5" i="4"/>
  <c r="AB2" i="4"/>
  <c r="L7" i="4"/>
  <c r="G9" i="4"/>
  <c r="E10" i="4"/>
  <c r="R8" i="4"/>
  <c r="I8" i="4"/>
  <c r="L8" i="4" s="1"/>
  <c r="S7" i="4" l="1"/>
  <c r="P7" i="4" a="1"/>
  <c r="P7" i="4" s="1"/>
  <c r="S8" i="4"/>
  <c r="P8" i="4" a="1"/>
  <c r="P8" i="4" s="1"/>
  <c r="V8" i="4" s="1"/>
  <c r="W8" i="4" s="1"/>
  <c r="E11" i="4"/>
  <c r="G10" i="4"/>
  <c r="F33" i="6"/>
  <c r="W5" i="4"/>
  <c r="E33" i="6"/>
  <c r="R9" i="4"/>
  <c r="I9" i="4"/>
  <c r="L9" i="4" s="1"/>
  <c r="AF5" i="4"/>
  <c r="Z8" i="4" l="1"/>
  <c r="AB8" i="4" s="1"/>
  <c r="S9" i="4"/>
  <c r="P9" i="4" a="1"/>
  <c r="P9" i="4" s="1"/>
  <c r="G11" i="4"/>
  <c r="E12" i="4"/>
  <c r="Z5" i="4"/>
  <c r="V7" i="4"/>
  <c r="AF6" i="4"/>
  <c r="I10" i="4"/>
  <c r="L10" i="4" s="1"/>
  <c r="R10" i="4"/>
  <c r="AB5" i="4" l="1"/>
  <c r="AF7" i="4"/>
  <c r="G12" i="4"/>
  <c r="E13" i="4"/>
  <c r="S10" i="4"/>
  <c r="P10" i="4" a="1"/>
  <c r="P10" i="4" s="1"/>
  <c r="V10" i="4" s="1"/>
  <c r="J33" i="6" s="1"/>
  <c r="W7" i="4"/>
  <c r="G33" i="6"/>
  <c r="H33" i="6"/>
  <c r="R11" i="4"/>
  <c r="I11" i="4"/>
  <c r="L11" i="4" s="1"/>
  <c r="V9" i="4"/>
  <c r="S11" i="4" l="1"/>
  <c r="P11" i="4" a="1"/>
  <c r="P11" i="4" s="1"/>
  <c r="V11" i="4" s="1"/>
  <c r="K33" i="6"/>
  <c r="W10" i="4"/>
  <c r="AF8" i="4"/>
  <c r="AF9" i="4" s="1"/>
  <c r="AF10" i="4" s="1"/>
  <c r="B5" i="5" a="1"/>
  <c r="B5" i="5" s="1"/>
  <c r="G13" i="4"/>
  <c r="E14" i="4"/>
  <c r="Z7" i="4"/>
  <c r="I33" i="6"/>
  <c r="W9" i="4"/>
  <c r="R12" i="4"/>
  <c r="I12" i="4"/>
  <c r="L12" i="4" s="1"/>
  <c r="Z9" i="4" l="1"/>
  <c r="AB9" i="4" s="1"/>
  <c r="AF11" i="4"/>
  <c r="AB7" i="4"/>
  <c r="W11" i="4"/>
  <c r="B6" i="5" a="1"/>
  <c r="B6" i="5" s="1"/>
  <c r="R13" i="4"/>
  <c r="I13" i="4"/>
  <c r="L13" i="4" s="1"/>
  <c r="Z10" i="4"/>
  <c r="AB10" i="4" s="1"/>
  <c r="S12" i="4"/>
  <c r="P12" i="4" a="1"/>
  <c r="P12" i="4" s="1"/>
  <c r="V12" i="4" s="1"/>
  <c r="L33" i="6" s="1"/>
  <c r="E15" i="4"/>
  <c r="G14" i="4"/>
  <c r="Z11" i="4" l="1"/>
  <c r="W12" i="4"/>
  <c r="AF12" i="4"/>
  <c r="I14" i="4"/>
  <c r="J14" i="4" a="1"/>
  <c r="J14" i="4" s="1"/>
  <c r="R14" i="4"/>
  <c r="B8" i="5" a="1"/>
  <c r="B8" i="5" s="1"/>
  <c r="S13" i="4"/>
  <c r="P13" i="4" a="1"/>
  <c r="P13" i="4" s="1"/>
  <c r="V13" i="4" s="1"/>
  <c r="W13" i="4" s="1"/>
  <c r="G15" i="4"/>
  <c r="E16" i="4"/>
  <c r="Z13" i="4" l="1"/>
  <c r="AB13" i="4" s="1"/>
  <c r="K14" i="4"/>
  <c r="L14" i="4" s="1"/>
  <c r="M33" i="6"/>
  <c r="AF13" i="4"/>
  <c r="Z12" i="4"/>
  <c r="AB12" i="4" s="1"/>
  <c r="G16" i="4"/>
  <c r="E17" i="4"/>
  <c r="R15" i="4"/>
  <c r="J15" i="4" a="1"/>
  <c r="J15" i="4" s="1"/>
  <c r="K15" i="4" s="1"/>
  <c r="I15" i="4"/>
  <c r="AB11" i="4"/>
  <c r="B22" i="5"/>
  <c r="S14" i="4" l="1"/>
  <c r="P14" i="4" a="1"/>
  <c r="P14" i="4" s="1"/>
  <c r="B43" i="5" a="1"/>
  <c r="B43" i="5" s="1"/>
  <c r="B47" i="5" s="1"/>
  <c r="B48" i="5" s="1"/>
  <c r="B44" i="5" a="1"/>
  <c r="B44" i="5" s="1"/>
  <c r="R16" i="4"/>
  <c r="J16" i="4" a="1"/>
  <c r="J16" i="4" s="1"/>
  <c r="K16" i="4" s="1"/>
  <c r="I16" i="4"/>
  <c r="L15" i="4"/>
  <c r="E18" i="4"/>
  <c r="G17" i="4"/>
  <c r="S15" i="4" l="1"/>
  <c r="P15" i="4" a="1"/>
  <c r="P15" i="4" s="1"/>
  <c r="V15" i="4" s="1"/>
  <c r="W15" i="4" s="1"/>
  <c r="V14" i="4"/>
  <c r="L16" i="4"/>
  <c r="G18" i="4"/>
  <c r="E19" i="4"/>
  <c r="I17" i="4"/>
  <c r="R17" i="4"/>
  <c r="J17" i="4" a="1"/>
  <c r="J17" i="4" s="1"/>
  <c r="Z15" i="4" l="1"/>
  <c r="AB15" i="4" s="1"/>
  <c r="AF14" i="4"/>
  <c r="W14" i="4"/>
  <c r="N33" i="6"/>
  <c r="G19" i="4"/>
  <c r="E20" i="4"/>
  <c r="O33" i="6"/>
  <c r="J18" i="4" a="1"/>
  <c r="J18" i="4" s="1"/>
  <c r="K18" i="4" s="1"/>
  <c r="R18" i="4"/>
  <c r="I18" i="4"/>
  <c r="S16" i="4"/>
  <c r="P16" i="4" a="1"/>
  <c r="P16" i="4" s="1"/>
  <c r="V16" i="4" s="1"/>
  <c r="P33" i="6" s="1"/>
  <c r="K17" i="4"/>
  <c r="L17" i="4" s="1"/>
  <c r="S17" i="4" l="1"/>
  <c r="P17" i="4" a="1"/>
  <c r="P17" i="4" s="1"/>
  <c r="V17" i="4" s="1"/>
  <c r="W17" i="4" s="1"/>
  <c r="Z14" i="4"/>
  <c r="L18" i="4"/>
  <c r="R19" i="4"/>
  <c r="J19" i="4" a="1"/>
  <c r="J19" i="4" s="1"/>
  <c r="I19" i="4"/>
  <c r="W16" i="4"/>
  <c r="AF15" i="4"/>
  <c r="AF16" i="4" s="1"/>
  <c r="AF17" i="4" s="1"/>
  <c r="G20" i="4"/>
  <c r="E21" i="4"/>
  <c r="Z17" i="4" l="1"/>
  <c r="AB17" i="4" s="1"/>
  <c r="Q33" i="6"/>
  <c r="E22" i="4"/>
  <c r="G21" i="4"/>
  <c r="K19" i="4"/>
  <c r="L19" i="4" s="1"/>
  <c r="R20" i="4"/>
  <c r="J20" i="4" a="1"/>
  <c r="J20" i="4" s="1"/>
  <c r="K20" i="4" s="1"/>
  <c r="I20" i="4"/>
  <c r="S18" i="4"/>
  <c r="P18" i="4" a="1"/>
  <c r="P18" i="4" s="1"/>
  <c r="AB14" i="4"/>
  <c r="Z16" i="4"/>
  <c r="AB16" i="4" s="1"/>
  <c r="S19" i="4" l="1"/>
  <c r="P19" i="4" a="1"/>
  <c r="P19" i="4" s="1"/>
  <c r="V19" i="4" s="1"/>
  <c r="W19" i="4" s="1"/>
  <c r="E23" i="4"/>
  <c r="G22" i="4"/>
  <c r="L20" i="4"/>
  <c r="V18" i="4"/>
  <c r="I21" i="4"/>
  <c r="R21" i="4"/>
  <c r="J21" i="4" a="1"/>
  <c r="J21" i="4" s="1"/>
  <c r="K21" i="4" s="1"/>
  <c r="Z19" i="4" l="1"/>
  <c r="AB19" i="4" s="1"/>
  <c r="E24" i="4"/>
  <c r="G23" i="4"/>
  <c r="L21" i="4"/>
  <c r="S33" i="6"/>
  <c r="J22" i="4" a="1"/>
  <c r="J22" i="4" s="1"/>
  <c r="K22" i="4" s="1"/>
  <c r="I22" i="4"/>
  <c r="R22" i="4"/>
  <c r="R33" i="6"/>
  <c r="W18" i="4"/>
  <c r="AF18" i="4"/>
  <c r="S20" i="4"/>
  <c r="P20" i="4" a="1"/>
  <c r="P20" i="4" s="1"/>
  <c r="V20" i="4" s="1"/>
  <c r="T33" i="6" l="1"/>
  <c r="L22" i="4"/>
  <c r="S21" i="4"/>
  <c r="P21" i="4" a="1"/>
  <c r="P21" i="4" s="1"/>
  <c r="V21" i="4" s="1"/>
  <c r="W21" i="4" s="1"/>
  <c r="U33" i="6"/>
  <c r="AF19" i="4"/>
  <c r="AF20" i="4" s="1"/>
  <c r="AF21" i="4" s="1"/>
  <c r="Z18" i="4"/>
  <c r="R23" i="4"/>
  <c r="J23" i="4" a="1"/>
  <c r="J23" i="4" s="1"/>
  <c r="K23" i="4" s="1"/>
  <c r="I23" i="4"/>
  <c r="W20" i="4"/>
  <c r="E25" i="4"/>
  <c r="G24" i="4"/>
  <c r="Z21" i="4" l="1"/>
  <c r="AB21" i="4" s="1"/>
  <c r="S22" i="4"/>
  <c r="P22" i="4" a="1"/>
  <c r="P22" i="4" s="1"/>
  <c r="V22" i="4" s="1"/>
  <c r="V33" i="6" s="1"/>
  <c r="Z20" i="4"/>
  <c r="AB20" i="4" s="1"/>
  <c r="AB18" i="4"/>
  <c r="J24" i="4" a="1"/>
  <c r="J24" i="4" s="1"/>
  <c r="K24" i="4" s="1"/>
  <c r="R24" i="4"/>
  <c r="I24" i="4"/>
  <c r="L24" i="4" s="1"/>
  <c r="L23" i="4"/>
  <c r="C5" i="5" a="1"/>
  <c r="C5" i="5" s="1"/>
  <c r="G25" i="4"/>
  <c r="E26" i="4"/>
  <c r="AF22" i="4" l="1"/>
  <c r="S24" i="4"/>
  <c r="P24" i="4" a="1"/>
  <c r="P24" i="4" s="1"/>
  <c r="V24" i="4" s="1"/>
  <c r="W24" i="4" s="1"/>
  <c r="E27" i="4"/>
  <c r="G26" i="4"/>
  <c r="W22" i="4"/>
  <c r="S23" i="4"/>
  <c r="P23" i="4" a="1"/>
  <c r="P23" i="4" s="1"/>
  <c r="V23" i="4" s="1"/>
  <c r="W23" i="4" s="1"/>
  <c r="C6" i="5" a="1"/>
  <c r="C6" i="5" s="1"/>
  <c r="I25" i="4"/>
  <c r="L25" i="4" s="1"/>
  <c r="R25" i="4"/>
  <c r="J25" i="4" a="1"/>
  <c r="J25" i="4" s="1"/>
  <c r="K25" i="4" s="1"/>
  <c r="Z23" i="4" l="1"/>
  <c r="AB23" i="4" s="1"/>
  <c r="Z24" i="4"/>
  <c r="AB24" i="4" s="1"/>
  <c r="C8" i="5" a="1"/>
  <c r="C8" i="5" s="1"/>
  <c r="S25" i="4"/>
  <c r="P25" i="4" a="1"/>
  <c r="P25" i="4" s="1"/>
  <c r="V25" i="4" s="1"/>
  <c r="Y33" i="6" s="1"/>
  <c r="W33" i="6"/>
  <c r="I26" i="4"/>
  <c r="R26" i="4"/>
  <c r="J26" i="4" a="1"/>
  <c r="J26" i="4" s="1"/>
  <c r="G27" i="4"/>
  <c r="E28" i="4"/>
  <c r="Z22" i="4"/>
  <c r="X33" i="6"/>
  <c r="AF23" i="4"/>
  <c r="AF24" i="4" s="1"/>
  <c r="E29" i="4" l="1"/>
  <c r="G28" i="4"/>
  <c r="K26" i="4"/>
  <c r="L26" i="4"/>
  <c r="W25" i="4"/>
  <c r="J27" i="4" a="1"/>
  <c r="J27" i="4" s="1"/>
  <c r="K27" i="4" s="1"/>
  <c r="R27" i="4"/>
  <c r="I27" i="4"/>
  <c r="AB22" i="4"/>
  <c r="S26" i="4" l="1"/>
  <c r="P26" i="4" a="1"/>
  <c r="P26" i="4" s="1"/>
  <c r="L27" i="4"/>
  <c r="R28" i="4"/>
  <c r="J28" i="4" a="1"/>
  <c r="J28" i="4" s="1"/>
  <c r="I28" i="4"/>
  <c r="Z25" i="4"/>
  <c r="AB25" i="4" s="1"/>
  <c r="E30" i="4"/>
  <c r="G29" i="4"/>
  <c r="E31" i="4" l="1"/>
  <c r="G30" i="4"/>
  <c r="V26" i="4"/>
  <c r="J29" i="4" a="1"/>
  <c r="J29" i="4" s="1"/>
  <c r="K29" i="4" s="1"/>
  <c r="I29" i="4"/>
  <c r="R29" i="4"/>
  <c r="K28" i="4"/>
  <c r="S27" i="4"/>
  <c r="P27" i="4" a="1"/>
  <c r="P27" i="4" s="1"/>
  <c r="V27" i="4" s="1"/>
  <c r="W27" i="4" s="1"/>
  <c r="L28" i="4"/>
  <c r="Z27" i="4" l="1"/>
  <c r="AB27" i="4" s="1"/>
  <c r="S28" i="4"/>
  <c r="P28" i="4" a="1"/>
  <c r="P28" i="4" s="1"/>
  <c r="V28" i="4" s="1"/>
  <c r="W28" i="4" s="1"/>
  <c r="AB33" i="6"/>
  <c r="L29" i="4"/>
  <c r="I30" i="4"/>
  <c r="R30" i="4"/>
  <c r="J30" i="4" a="1"/>
  <c r="J30" i="4" s="1"/>
  <c r="K30" i="4" s="1"/>
  <c r="AA33" i="6"/>
  <c r="G31" i="4"/>
  <c r="E32" i="4"/>
  <c r="W26" i="4"/>
  <c r="Z33" i="6"/>
  <c r="Z28" i="4" l="1"/>
  <c r="AB28" i="4" s="1"/>
  <c r="G32" i="4"/>
  <c r="E33" i="4"/>
  <c r="S29" i="4"/>
  <c r="P29" i="4" a="1"/>
  <c r="P29" i="4" s="1"/>
  <c r="J31" i="4" a="1"/>
  <c r="J31" i="4" s="1"/>
  <c r="R31" i="4"/>
  <c r="I31" i="4"/>
  <c r="Z26" i="4"/>
  <c r="L30" i="4"/>
  <c r="V29" i="4" l="1"/>
  <c r="R32" i="4"/>
  <c r="J32" i="4" a="1"/>
  <c r="J32" i="4" s="1"/>
  <c r="K32" i="4" s="1"/>
  <c r="I32" i="4"/>
  <c r="L32" i="4" s="1"/>
  <c r="AB26" i="4"/>
  <c r="E34" i="4"/>
  <c r="G33" i="4"/>
  <c r="S30" i="4"/>
  <c r="P30" i="4" a="1"/>
  <c r="P30" i="4" s="1"/>
  <c r="V30" i="4" s="1"/>
  <c r="W30" i="4" s="1"/>
  <c r="K31" i="4"/>
  <c r="L31" i="4" s="1"/>
  <c r="S31" i="4" l="1"/>
  <c r="P31" i="4" a="1"/>
  <c r="P31" i="4" s="1"/>
  <c r="V31" i="4" s="1"/>
  <c r="W31" i="4" s="1"/>
  <c r="Z30" i="4"/>
  <c r="AB30" i="4" s="1"/>
  <c r="S32" i="4"/>
  <c r="P32" i="4" a="1"/>
  <c r="P32" i="4" s="1"/>
  <c r="AD33" i="6"/>
  <c r="R33" i="4"/>
  <c r="J33" i="4" a="1"/>
  <c r="J33" i="4" s="1"/>
  <c r="K33" i="4" s="1"/>
  <c r="I33" i="4"/>
  <c r="E35" i="4"/>
  <c r="G34" i="4"/>
  <c r="AC33" i="6"/>
  <c r="W29" i="4"/>
  <c r="Z31" i="4" l="1"/>
  <c r="AB31" i="4" s="1"/>
  <c r="L33" i="4"/>
  <c r="Z29" i="4"/>
  <c r="AE33" i="6"/>
  <c r="V32" i="4"/>
  <c r="E36" i="4"/>
  <c r="G35" i="4"/>
  <c r="I34" i="4"/>
  <c r="R34" i="4"/>
  <c r="J34" i="4" a="1"/>
  <c r="J34" i="4" s="1"/>
  <c r="K34" i="4" s="1"/>
  <c r="W32" i="4" l="1"/>
  <c r="AF33" i="6"/>
  <c r="L34" i="4"/>
  <c r="AB29" i="4"/>
  <c r="S33" i="4"/>
  <c r="P33" i="4" a="1"/>
  <c r="P33" i="4" s="1"/>
  <c r="V33" i="4" s="1"/>
  <c r="W33" i="4" s="1"/>
  <c r="J35" i="4" a="1"/>
  <c r="J35" i="4" s="1"/>
  <c r="K35" i="4" s="1"/>
  <c r="R35" i="4"/>
  <c r="I35" i="4"/>
  <c r="G36" i="4"/>
  <c r="E37" i="4"/>
  <c r="Z33" i="4" l="1"/>
  <c r="AB33" i="4" s="1"/>
  <c r="L35" i="4"/>
  <c r="S34" i="4"/>
  <c r="P34" i="4" a="1"/>
  <c r="P34" i="4" s="1"/>
  <c r="V34" i="4" s="1"/>
  <c r="W34" i="4" s="1"/>
  <c r="D5" i="5" a="1"/>
  <c r="D5" i="5" s="1"/>
  <c r="E38" i="4"/>
  <c r="G37" i="4"/>
  <c r="R36" i="4"/>
  <c r="I36" i="4"/>
  <c r="J36" i="4" a="1"/>
  <c r="J36" i="4" s="1"/>
  <c r="K36" i="4" s="1"/>
  <c r="AG33" i="6"/>
  <c r="Z32" i="4"/>
  <c r="Z34" i="4" l="1"/>
  <c r="AB34" i="4" s="1"/>
  <c r="AH33" i="6"/>
  <c r="D6" i="5" a="1"/>
  <c r="D6" i="5" s="1"/>
  <c r="R37" i="4"/>
  <c r="J37" i="4" a="1"/>
  <c r="J37" i="4" s="1"/>
  <c r="K37" i="4" s="1"/>
  <c r="I37" i="4"/>
  <c r="E39" i="4"/>
  <c r="G38" i="4"/>
  <c r="L36" i="4"/>
  <c r="S35" i="4"/>
  <c r="P35" i="4" a="1"/>
  <c r="P35" i="4" s="1"/>
  <c r="V35" i="4" s="1"/>
  <c r="W35" i="4" s="1"/>
  <c r="AB32" i="4"/>
  <c r="Z35" i="4" l="1"/>
  <c r="L37" i="4"/>
  <c r="AI33" i="6"/>
  <c r="S36" i="4"/>
  <c r="P36" i="4" a="1"/>
  <c r="P36" i="4" s="1"/>
  <c r="V36" i="4" s="1"/>
  <c r="W36" i="4" s="1"/>
  <c r="I38" i="4"/>
  <c r="R38" i="4"/>
  <c r="J38" i="4" a="1"/>
  <c r="J38" i="4" s="1"/>
  <c r="E40" i="4"/>
  <c r="G39" i="4"/>
  <c r="Z36" i="4" l="1"/>
  <c r="AB36" i="4" s="1"/>
  <c r="AJ33" i="6"/>
  <c r="E41" i="4"/>
  <c r="G40" i="4"/>
  <c r="K38" i="4"/>
  <c r="J39" i="4" a="1"/>
  <c r="J39" i="4" s="1"/>
  <c r="K39" i="4" s="1"/>
  <c r="I39" i="4"/>
  <c r="R39" i="4"/>
  <c r="D8" i="5" a="1"/>
  <c r="D8" i="5" s="1"/>
  <c r="S37" i="4"/>
  <c r="P37" i="4" a="1"/>
  <c r="P37" i="4" s="1"/>
  <c r="V37" i="4" s="1"/>
  <c r="W37" i="4" s="1"/>
  <c r="AB35" i="4"/>
  <c r="Z37" i="4" l="1"/>
  <c r="AB37" i="4" s="1"/>
  <c r="AK33" i="6"/>
  <c r="I40" i="4"/>
  <c r="R40" i="4"/>
  <c r="J40" i="4" a="1"/>
  <c r="J40" i="4" s="1"/>
  <c r="E42" i="4"/>
  <c r="G41" i="4"/>
  <c r="L38" i="4"/>
  <c r="L39" i="4"/>
  <c r="J41" i="4" l="1" a="1"/>
  <c r="J41" i="4" s="1"/>
  <c r="K41" i="4" s="1"/>
  <c r="R41" i="4"/>
  <c r="I41" i="4"/>
  <c r="L41" i="4" s="1"/>
  <c r="K40" i="4"/>
  <c r="E43" i="4"/>
  <c r="G42" i="4"/>
  <c r="S39" i="4"/>
  <c r="P39" i="4" a="1"/>
  <c r="P39" i="4" s="1"/>
  <c r="V39" i="4" s="1"/>
  <c r="W39" i="4" s="1"/>
  <c r="S38" i="4"/>
  <c r="P38" i="4" a="1"/>
  <c r="P38" i="4" s="1"/>
  <c r="Z39" i="4" l="1"/>
  <c r="AB39" i="4" s="1"/>
  <c r="I42" i="4"/>
  <c r="R42" i="4"/>
  <c r="J42" i="4" a="1"/>
  <c r="J42" i="4" s="1"/>
  <c r="E44" i="4"/>
  <c r="G43" i="4"/>
  <c r="S41" i="4"/>
  <c r="P41" i="4" a="1"/>
  <c r="P41" i="4" s="1"/>
  <c r="V41" i="4" s="1"/>
  <c r="W41" i="4" s="1"/>
  <c r="V38" i="4"/>
  <c r="L40" i="4"/>
  <c r="Z41" i="4" l="1"/>
  <c r="AB41" i="4" s="1"/>
  <c r="J43" i="4" a="1"/>
  <c r="J43" i="4" s="1"/>
  <c r="K43" i="4" s="1"/>
  <c r="I43" i="4"/>
  <c r="R43" i="4"/>
  <c r="AL33" i="6"/>
  <c r="AM33" i="6"/>
  <c r="W38" i="4"/>
  <c r="S40" i="4"/>
  <c r="P40" i="4" a="1"/>
  <c r="P40" i="4" s="1"/>
  <c r="E45" i="4"/>
  <c r="G44" i="4"/>
  <c r="K42" i="4"/>
  <c r="L42" i="4"/>
  <c r="E46" i="4" l="1"/>
  <c r="G45" i="4"/>
  <c r="V40" i="4"/>
  <c r="L43" i="4"/>
  <c r="S42" i="4"/>
  <c r="P42" i="4" a="1"/>
  <c r="P42" i="4" s="1"/>
  <c r="V42" i="4" s="1"/>
  <c r="W42" i="4" s="1"/>
  <c r="Z38" i="4"/>
  <c r="J44" i="4" a="1"/>
  <c r="J44" i="4" s="1"/>
  <c r="R44" i="4"/>
  <c r="I44" i="4"/>
  <c r="Z42" i="4" l="1"/>
  <c r="AB42" i="4" s="1"/>
  <c r="K44" i="4"/>
  <c r="L44" i="4"/>
  <c r="S43" i="4"/>
  <c r="P43" i="4" a="1"/>
  <c r="P43" i="4" s="1"/>
  <c r="W40" i="4"/>
  <c r="AO33" i="6"/>
  <c r="AN33" i="6"/>
  <c r="AB38" i="4"/>
  <c r="I45" i="4"/>
  <c r="R45" i="4"/>
  <c r="J45" i="4" a="1"/>
  <c r="J45" i="4" s="1"/>
  <c r="K45" i="4" s="1"/>
  <c r="AP33" i="6"/>
  <c r="E47" i="4"/>
  <c r="G46" i="4"/>
  <c r="E48" i="4" l="1"/>
  <c r="G47" i="4"/>
  <c r="S44" i="4"/>
  <c r="P44" i="4" a="1"/>
  <c r="P44" i="4" s="1"/>
  <c r="Z40" i="4"/>
  <c r="J46" i="4" a="1"/>
  <c r="J46" i="4" s="1"/>
  <c r="K46" i="4" s="1"/>
  <c r="I46" i="4"/>
  <c r="R46" i="4"/>
  <c r="L45" i="4"/>
  <c r="V43" i="4"/>
  <c r="AQ33" i="6" l="1"/>
  <c r="W43" i="4"/>
  <c r="S45" i="4"/>
  <c r="P45" i="4" a="1"/>
  <c r="P45" i="4" s="1"/>
  <c r="V45" i="4" s="1"/>
  <c r="AS33" i="6" s="1"/>
  <c r="L46" i="4"/>
  <c r="V44" i="4"/>
  <c r="I47" i="4"/>
  <c r="R47" i="4"/>
  <c r="J47" i="4" a="1"/>
  <c r="J47" i="4" s="1"/>
  <c r="K47" i="4" s="1"/>
  <c r="AB40" i="4"/>
  <c r="E49" i="4"/>
  <c r="G48" i="4"/>
  <c r="W45" i="4" l="1"/>
  <c r="L47" i="4"/>
  <c r="Z43" i="4"/>
  <c r="J48" i="4" a="1"/>
  <c r="J48" i="4" s="1"/>
  <c r="K48" i="4" s="1"/>
  <c r="I48" i="4"/>
  <c r="R48" i="4"/>
  <c r="W44" i="4"/>
  <c r="AR33" i="6"/>
  <c r="E5" i="5" a="1"/>
  <c r="E5" i="5" s="1"/>
  <c r="E50" i="4"/>
  <c r="G49" i="4"/>
  <c r="S46" i="4"/>
  <c r="P46" i="4" a="1"/>
  <c r="P46" i="4" s="1"/>
  <c r="I49" i="4" l="1"/>
  <c r="E6" i="5" a="1"/>
  <c r="E6" i="5" s="1"/>
  <c r="J49" i="4" a="1"/>
  <c r="J49" i="4" s="1"/>
  <c r="K49" i="4" s="1"/>
  <c r="R49" i="4"/>
  <c r="AB43" i="4"/>
  <c r="S47" i="4"/>
  <c r="P47" i="4" a="1"/>
  <c r="P47" i="4" s="1"/>
  <c r="Z44" i="4"/>
  <c r="AB44" i="4" s="1"/>
  <c r="Z45" i="4"/>
  <c r="AB45" i="4" s="1"/>
  <c r="V46" i="4"/>
  <c r="E51" i="4"/>
  <c r="G50" i="4"/>
  <c r="L48" i="4"/>
  <c r="E52" i="4" l="1"/>
  <c r="G51" i="4"/>
  <c r="W46" i="4"/>
  <c r="AT33" i="6"/>
  <c r="S48" i="4"/>
  <c r="P48" i="4" a="1"/>
  <c r="P48" i="4" s="1"/>
  <c r="V48" i="4" s="1"/>
  <c r="AV33" i="6" s="1"/>
  <c r="J50" i="4" a="1"/>
  <c r="J50" i="4" s="1"/>
  <c r="I50" i="4"/>
  <c r="R50" i="4"/>
  <c r="V47" i="4"/>
  <c r="W47" i="4" s="1"/>
  <c r="L49" i="4"/>
  <c r="W48" i="4" l="1"/>
  <c r="Z47" i="4"/>
  <c r="AB47" i="4" s="1"/>
  <c r="Z46" i="4"/>
  <c r="E19" i="5"/>
  <c r="E36" i="5" s="1"/>
  <c r="L50" i="4"/>
  <c r="K50" i="4"/>
  <c r="J51" i="4" a="1"/>
  <c r="J51" i="4" s="1"/>
  <c r="K51" i="4" s="1"/>
  <c r="I51" i="4"/>
  <c r="R51" i="4"/>
  <c r="E8" i="5" a="1"/>
  <c r="E8" i="5" s="1"/>
  <c r="W49" i="4"/>
  <c r="S49" i="4"/>
  <c r="P49" i="4" a="1"/>
  <c r="P49" i="4" s="1"/>
  <c r="V49" i="4" s="1"/>
  <c r="AW33" i="6"/>
  <c r="AU33" i="6"/>
  <c r="G52" i="4"/>
  <c r="E53" i="4"/>
  <c r="Z49" i="4" l="1"/>
  <c r="AB49" i="4" s="1"/>
  <c r="S50" i="4"/>
  <c r="P50" i="4" a="1"/>
  <c r="P50" i="4" s="1"/>
  <c r="E54" i="4"/>
  <c r="G53" i="4"/>
  <c r="R52" i="4"/>
  <c r="J52" i="4" a="1"/>
  <c r="J52" i="4" s="1"/>
  <c r="I52" i="4"/>
  <c r="L51" i="4"/>
  <c r="AB46" i="4"/>
  <c r="E22" i="5"/>
  <c r="Z48" i="4"/>
  <c r="AB48" i="4" s="1"/>
  <c r="S51" i="4" l="1"/>
  <c r="P51" i="4" a="1"/>
  <c r="P51" i="4" s="1"/>
  <c r="V51" i="4" s="1"/>
  <c r="W51" i="4" s="1"/>
  <c r="V50" i="4"/>
  <c r="AY33" i="6" s="1"/>
  <c r="K52" i="4"/>
  <c r="L52" i="4" s="1"/>
  <c r="I53" i="4"/>
  <c r="R53" i="4"/>
  <c r="J53" i="4" a="1"/>
  <c r="J53" i="4" s="1"/>
  <c r="K53" i="4" s="1"/>
  <c r="E55" i="4"/>
  <c r="G54" i="4"/>
  <c r="S52" i="4" l="1"/>
  <c r="P52" i="4" a="1"/>
  <c r="P52" i="4" s="1"/>
  <c r="Z51" i="4"/>
  <c r="AB51" i="4" s="1"/>
  <c r="J54" i="4" a="1"/>
  <c r="J54" i="4" s="1"/>
  <c r="I54" i="4"/>
  <c r="R54" i="4"/>
  <c r="AX33" i="6"/>
  <c r="W50" i="4"/>
  <c r="E56" i="4"/>
  <c r="G55" i="4"/>
  <c r="L53" i="4"/>
  <c r="K54" i="4" l="1"/>
  <c r="V52" i="4"/>
  <c r="E57" i="4"/>
  <c r="G56" i="4"/>
  <c r="I55" i="4"/>
  <c r="R55" i="4"/>
  <c r="J55" i="4" a="1"/>
  <c r="J55" i="4" s="1"/>
  <c r="K55" i="4" s="1"/>
  <c r="Z50" i="4"/>
  <c r="S53" i="4"/>
  <c r="P53" i="4" a="1"/>
  <c r="P53" i="4" s="1"/>
  <c r="V53" i="4" s="1"/>
  <c r="BA33" i="6" s="1"/>
  <c r="L54" i="4"/>
  <c r="W53" i="4" l="1"/>
  <c r="J56" i="4" a="1"/>
  <c r="J56" i="4" s="1"/>
  <c r="K56" i="4" s="1"/>
  <c r="R56" i="4"/>
  <c r="I56" i="4"/>
  <c r="L56" i="4" s="1"/>
  <c r="E58" i="4"/>
  <c r="G57" i="4"/>
  <c r="AB50" i="4"/>
  <c r="W52" i="4"/>
  <c r="AZ33" i="6"/>
  <c r="L55" i="4"/>
  <c r="S54" i="4"/>
  <c r="P54" i="4" a="1"/>
  <c r="P54" i="4" s="1"/>
  <c r="R57" i="4" l="1"/>
  <c r="J57" i="4" a="1"/>
  <c r="J57" i="4" s="1"/>
  <c r="K57" i="4" s="1"/>
  <c r="I57" i="4"/>
  <c r="G58" i="4"/>
  <c r="E59" i="4"/>
  <c r="S56" i="4"/>
  <c r="P56" i="4" a="1"/>
  <c r="P56" i="4" s="1"/>
  <c r="V56" i="4" s="1"/>
  <c r="W56" i="4" s="1"/>
  <c r="Z52" i="4"/>
  <c r="S55" i="4"/>
  <c r="P55" i="4" a="1"/>
  <c r="P55" i="4" s="1"/>
  <c r="V54" i="4"/>
  <c r="Z53" i="4"/>
  <c r="AB53" i="4" s="1"/>
  <c r="Z56" i="4" l="1"/>
  <c r="AB56" i="4" s="1"/>
  <c r="V55" i="4"/>
  <c r="E60" i="4"/>
  <c r="G59" i="4"/>
  <c r="I58" i="4"/>
  <c r="L58" i="4" s="1"/>
  <c r="R58" i="4"/>
  <c r="J58" i="4" a="1"/>
  <c r="J58" i="4" s="1"/>
  <c r="K58" i="4" s="1"/>
  <c r="L57" i="4"/>
  <c r="BB33" i="6"/>
  <c r="W54" i="4"/>
  <c r="AB52" i="4"/>
  <c r="BD33" i="6"/>
  <c r="S58" i="4" l="1"/>
  <c r="P58" i="4" a="1"/>
  <c r="P58" i="4" s="1"/>
  <c r="V58" i="4" s="1"/>
  <c r="W58" i="4" s="1"/>
  <c r="BC33" i="6"/>
  <c r="W55" i="4"/>
  <c r="S57" i="4"/>
  <c r="P57" i="4" a="1"/>
  <c r="P57" i="4" s="1"/>
  <c r="I59" i="4"/>
  <c r="R59" i="4"/>
  <c r="J59" i="4" a="1"/>
  <c r="J59" i="4" s="1"/>
  <c r="K59" i="4" s="1"/>
  <c r="Z54" i="4"/>
  <c r="E61" i="4"/>
  <c r="G60" i="4"/>
  <c r="Z58" i="4" l="1"/>
  <c r="AB58" i="4" s="1"/>
  <c r="Z55" i="4"/>
  <c r="AB55" i="4" s="1"/>
  <c r="L59" i="4"/>
  <c r="J60" i="4" a="1"/>
  <c r="J60" i="4" s="1"/>
  <c r="K60" i="4" s="1"/>
  <c r="I60" i="4"/>
  <c r="R60" i="4"/>
  <c r="G61" i="4"/>
  <c r="F5" i="5" a="1"/>
  <c r="F5" i="5" s="1"/>
  <c r="AB54" i="4"/>
  <c r="V57" i="4"/>
  <c r="L60" i="4" l="1"/>
  <c r="S59" i="4"/>
  <c r="P59" i="4" a="1"/>
  <c r="P59" i="4" s="1"/>
  <c r="V59" i="4" s="1"/>
  <c r="W59" i="4" s="1"/>
  <c r="BG33" i="6"/>
  <c r="BE33" i="6"/>
  <c r="BF33" i="6"/>
  <c r="W57" i="4"/>
  <c r="F6" i="5" a="1"/>
  <c r="F6" i="5" s="1"/>
  <c r="J61" i="4" a="1"/>
  <c r="J61" i="4" s="1"/>
  <c r="R61" i="4"/>
  <c r="I61" i="4"/>
  <c r="Z59" i="4" l="1"/>
  <c r="AB59" i="4" s="1"/>
  <c r="B10" i="5"/>
  <c r="C10" i="5"/>
  <c r="C57" i="5" s="1"/>
  <c r="D10" i="5"/>
  <c r="D57" i="5" s="1"/>
  <c r="E10" i="5"/>
  <c r="E57" i="5" s="1"/>
  <c r="F10" i="5"/>
  <c r="F57" i="5" s="1"/>
  <c r="B16" i="5"/>
  <c r="C16" i="5"/>
  <c r="D16" i="5"/>
  <c r="E16" i="5"/>
  <c r="K61" i="4"/>
  <c r="L61" i="4" s="1"/>
  <c r="C11" i="5"/>
  <c r="G11" i="5" s="1"/>
  <c r="D11" i="5"/>
  <c r="E11" i="5"/>
  <c r="F11" i="5"/>
  <c r="Z57" i="4"/>
  <c r="S60" i="4"/>
  <c r="P60" i="4" a="1"/>
  <c r="P60" i="4" s="1"/>
  <c r="V60" i="4" s="1"/>
  <c r="BH33" i="6" s="1"/>
  <c r="S61" i="4" l="1"/>
  <c r="F16" i="5" s="1"/>
  <c r="F8" i="5" a="1"/>
  <c r="F8" i="5" s="1"/>
  <c r="P61" i="4" a="1"/>
  <c r="P61" i="4" s="1"/>
  <c r="B13" i="5"/>
  <c r="C13" i="5"/>
  <c r="D13" i="5"/>
  <c r="E13" i="5"/>
  <c r="F13" i="5"/>
  <c r="G10" i="5"/>
  <c r="B57" i="5"/>
  <c r="W60" i="4"/>
  <c r="C12" i="5"/>
  <c r="D12" i="5"/>
  <c r="E12" i="5"/>
  <c r="F12" i="5"/>
  <c r="AB57" i="4"/>
  <c r="G16" i="5"/>
  <c r="Z60" i="4" l="1"/>
  <c r="AB60" i="4" s="1"/>
  <c r="C58" i="5"/>
  <c r="C60" i="5" s="1"/>
  <c r="C64" i="5"/>
  <c r="B58" i="5"/>
  <c r="B60" i="5" s="1"/>
  <c r="G13" i="5"/>
  <c r="V61" i="4"/>
  <c r="B15" i="5"/>
  <c r="C15" i="5"/>
  <c r="C59" i="5" s="1"/>
  <c r="C61" i="5" s="1"/>
  <c r="D15" i="5"/>
  <c r="D59" i="5" s="1"/>
  <c r="D61" i="5" s="1"/>
  <c r="E15" i="5"/>
  <c r="E59" i="5" s="1"/>
  <c r="E61" i="5" s="1"/>
  <c r="F15" i="5"/>
  <c r="F59" i="5" s="1"/>
  <c r="F61" i="5" s="1"/>
  <c r="D58" i="5"/>
  <c r="D60" i="5" s="1"/>
  <c r="D64" i="5"/>
  <c r="G12" i="5"/>
  <c r="F58" i="5"/>
  <c r="F60" i="5" s="1"/>
  <c r="F64" i="5"/>
  <c r="E58" i="5"/>
  <c r="E60" i="5" s="1"/>
  <c r="E64" i="5"/>
  <c r="E20" i="5"/>
  <c r="G15" i="5" l="1"/>
  <c r="B59" i="5"/>
  <c r="B61" i="5" s="1"/>
  <c r="B18" i="5"/>
  <c r="C18" i="5"/>
  <c r="D18" i="5"/>
  <c r="E18" i="5"/>
  <c r="F18" i="5"/>
  <c r="W61" i="4"/>
  <c r="BI33" i="6"/>
  <c r="B13" i="6" s="1"/>
  <c r="AH61" i="4" l="1"/>
  <c r="AH60" i="4" s="1"/>
  <c r="AH59" i="4" s="1"/>
  <c r="AH58" i="4" s="1"/>
  <c r="AH57" i="4" s="1"/>
  <c r="AH56" i="4" s="1"/>
  <c r="AH55" i="4" s="1"/>
  <c r="AH54" i="4" s="1"/>
  <c r="AH53" i="4" s="1"/>
  <c r="AH52" i="4" s="1"/>
  <c r="AH51" i="4" s="1"/>
  <c r="AH50" i="4" s="1"/>
  <c r="AH49" i="4" s="1"/>
  <c r="AH48" i="4" s="1"/>
  <c r="AH47" i="4" s="1"/>
  <c r="AH46" i="4" s="1"/>
  <c r="AH45" i="4" s="1"/>
  <c r="AH44" i="4" s="1"/>
  <c r="AH43" i="4" s="1"/>
  <c r="AH42" i="4" s="1"/>
  <c r="AH41" i="4" s="1"/>
  <c r="AH40" i="4" s="1"/>
  <c r="AH39" i="4" s="1"/>
  <c r="AH38" i="4" s="1"/>
  <c r="AH37" i="4" s="1"/>
  <c r="AH36" i="4" s="1"/>
  <c r="AH35" i="4" s="1"/>
  <c r="AH34" i="4" s="1"/>
  <c r="AH33" i="4" s="1"/>
  <c r="AH32" i="4" s="1"/>
  <c r="AH31" i="4" s="1"/>
  <c r="AH30" i="4" s="1"/>
  <c r="AH29" i="4" s="1"/>
  <c r="AH28" i="4" s="1"/>
  <c r="AH27" i="4" s="1"/>
  <c r="AH26" i="4" s="1"/>
  <c r="AH25" i="4" s="1"/>
  <c r="AH24" i="4" s="1"/>
  <c r="AH23" i="4" s="1"/>
  <c r="AH22" i="4" s="1"/>
  <c r="AH21" i="4" s="1"/>
  <c r="AH20" i="4" s="1"/>
  <c r="AH19" i="4" s="1"/>
  <c r="AH18" i="4" s="1"/>
  <c r="AH17" i="4" s="1"/>
  <c r="AH16" i="4" s="1"/>
  <c r="AH15" i="4" s="1"/>
  <c r="AH14" i="4" s="1"/>
  <c r="AH13" i="4" s="1"/>
  <c r="AH12" i="4" s="1"/>
  <c r="AH11" i="4" s="1"/>
  <c r="AH10" i="4" s="1"/>
  <c r="AH9" i="4" s="1"/>
  <c r="AH8" i="4" s="1"/>
  <c r="AH7" i="4" s="1"/>
  <c r="AH6" i="4" s="1"/>
  <c r="AH5" i="4" s="1"/>
  <c r="AH4" i="4" s="1"/>
  <c r="AH3" i="4" s="1"/>
  <c r="AH2" i="4" s="1"/>
  <c r="B11" i="6" s="1"/>
  <c r="B12" i="6" s="1" a="1"/>
  <c r="B12" i="6" s="1"/>
  <c r="Z61" i="4"/>
  <c r="B19" i="5"/>
  <c r="C19" i="5"/>
  <c r="D19" i="5"/>
  <c r="F19" i="5"/>
  <c r="G18" i="5"/>
  <c r="F36" i="5" l="1"/>
  <c r="F20" i="5"/>
  <c r="D36" i="5"/>
  <c r="D20" i="5"/>
  <c r="G19" i="5"/>
  <c r="B36" i="5"/>
  <c r="B20" i="5"/>
  <c r="C36" i="5"/>
  <c r="C20" i="5"/>
  <c r="AB61" i="4"/>
  <c r="C22" i="5"/>
  <c r="G22" i="5" s="1"/>
  <c r="D22" i="5"/>
  <c r="F22" i="5"/>
  <c r="B39" i="5" l="1"/>
  <c r="G36" i="5"/>
  <c r="B24" i="5"/>
  <c r="C24" i="5"/>
  <c r="D24" i="5"/>
  <c r="E24" i="5"/>
  <c r="F24" i="5"/>
  <c r="D27" i="5" l="1"/>
  <c r="D28" i="5"/>
  <c r="C27" i="5"/>
  <c r="C28" i="5" s="1"/>
  <c r="G24" i="5"/>
  <c r="B27" i="5"/>
  <c r="B28" i="5"/>
  <c r="B30" i="6"/>
  <c r="B40" i="5"/>
  <c r="B31" i="5" l="1"/>
  <c r="C26" i="5" s="1"/>
  <c r="C31" i="5" s="1"/>
  <c r="D26" i="5" s="1"/>
  <c r="D31" i="5" s="1"/>
  <c r="E26" i="5" s="1"/>
  <c r="C29" i="5"/>
  <c r="B32" i="5"/>
  <c r="E27" i="5" l="1"/>
  <c r="B53" i="5"/>
  <c r="AE25" i="4" a="1"/>
  <c r="AE25" i="4" s="1"/>
  <c r="B33" i="5"/>
  <c r="C30" i="5"/>
  <c r="C32" i="5" s="1"/>
  <c r="D29" i="5"/>
  <c r="E29" i="5" l="1"/>
  <c r="D30" i="5"/>
  <c r="D32" i="5" s="1"/>
  <c r="AE37" i="4" a="1"/>
  <c r="AE37" i="4" s="1"/>
  <c r="D38" i="5" s="1"/>
  <c r="D39" i="5" s="1"/>
  <c r="D30" i="6" s="1"/>
  <c r="C33" i="5"/>
  <c r="C34" i="5" s="1"/>
  <c r="B50" i="5"/>
  <c r="B51" i="5" s="1"/>
  <c r="B63" i="5"/>
  <c r="B34" i="5"/>
  <c r="E28" i="5"/>
  <c r="C38" i="5"/>
  <c r="AF25" i="4"/>
  <c r="E31" i="5"/>
  <c r="F26" i="5" s="1"/>
  <c r="C39" i="5" l="1"/>
  <c r="C53" i="5"/>
  <c r="AE49" i="4" a="1"/>
  <c r="AE49" i="4" s="1"/>
  <c r="E38" i="5" s="1"/>
  <c r="E39" i="5" s="1"/>
  <c r="E30" i="6" s="1"/>
  <c r="D33" i="5"/>
  <c r="D53" i="5"/>
  <c r="C50" i="5"/>
  <c r="C51" i="5" s="1"/>
  <c r="E30" i="5"/>
  <c r="F29" i="5"/>
  <c r="F30" i="5" s="1"/>
  <c r="E32" i="5"/>
  <c r="F27" i="5"/>
  <c r="C43" i="5" a="1"/>
  <c r="C43" i="5" s="1"/>
  <c r="C47" i="5" s="1"/>
  <c r="C48" i="5" s="1"/>
  <c r="AF26" i="4"/>
  <c r="C44" i="5" a="1"/>
  <c r="C44" i="5" s="1"/>
  <c r="B62" i="5"/>
  <c r="B54" i="5"/>
  <c r="B55" i="5" s="1"/>
  <c r="F28" i="5" l="1"/>
  <c r="G27" i="5"/>
  <c r="F31" i="5"/>
  <c r="AE61" i="4" a="1"/>
  <c r="AE61" i="4" s="1"/>
  <c r="F38" i="5" s="1"/>
  <c r="F39" i="5" s="1"/>
  <c r="G39" i="5" s="1"/>
  <c r="E33" i="5"/>
  <c r="E34" i="5" s="1"/>
  <c r="D34" i="5"/>
  <c r="D50" i="5"/>
  <c r="D51" i="5" s="1"/>
  <c r="E53" i="5"/>
  <c r="AF27" i="4"/>
  <c r="AF28" i="4" s="1"/>
  <c r="AF29" i="4" s="1"/>
  <c r="AF30" i="4" s="1"/>
  <c r="AF31" i="4" s="1"/>
  <c r="AF32" i="4" s="1"/>
  <c r="AF33" i="4" s="1"/>
  <c r="AF34" i="4" s="1"/>
  <c r="AF35" i="4" s="1"/>
  <c r="AF36" i="4" s="1"/>
  <c r="AF37" i="4" s="1"/>
  <c r="C30" i="6"/>
  <c r="C40" i="5"/>
  <c r="D40" i="5" s="1"/>
  <c r="E40" i="5" s="1"/>
  <c r="C63" i="5"/>
  <c r="C54" i="5"/>
  <c r="C55" i="5" s="1"/>
  <c r="C62" i="5"/>
  <c r="D54" i="5" l="1"/>
  <c r="D62" i="5"/>
  <c r="B5" i="6"/>
  <c r="F30" i="6"/>
  <c r="B9" i="6" s="1"/>
  <c r="G38" i="5"/>
  <c r="B8" i="6"/>
  <c r="B6" i="6" a="1"/>
  <c r="B6" i="6" s="1"/>
  <c r="B7" i="6" s="1"/>
  <c r="D44" i="5" a="1"/>
  <c r="D44" i="5" s="1"/>
  <c r="D43" i="5" a="1"/>
  <c r="D43" i="5" s="1"/>
  <c r="D47" i="5" s="1"/>
  <c r="D48" i="5" s="1"/>
  <c r="AF38" i="4"/>
  <c r="F40" i="5"/>
  <c r="B10" i="6" s="1"/>
  <c r="E50" i="5"/>
  <c r="E51" i="5" s="1"/>
  <c r="F32" i="5"/>
  <c r="G28" i="5"/>
  <c r="E54" i="5" l="1"/>
  <c r="E62" i="5"/>
  <c r="F33" i="5"/>
  <c r="F53" i="5"/>
  <c r="G32" i="5"/>
  <c r="AF39" i="4"/>
  <c r="AF40" i="4" s="1"/>
  <c r="AF41" i="4" s="1"/>
  <c r="AF42" i="4" s="1"/>
  <c r="AF43" i="4" s="1"/>
  <c r="AF44" i="4" s="1"/>
  <c r="AF45" i="4" s="1"/>
  <c r="AF46" i="4" s="1"/>
  <c r="AF47" i="4" s="1"/>
  <c r="AF48" i="4" s="1"/>
  <c r="AF49" i="4" s="1"/>
  <c r="D63" i="5"/>
  <c r="D55" i="5"/>
  <c r="E44" i="5" l="1" a="1"/>
  <c r="E44" i="5" s="1"/>
  <c r="F34" i="5"/>
  <c r="F50" i="5"/>
  <c r="F51" i="5" s="1"/>
  <c r="G33" i="5"/>
  <c r="E43" i="5" a="1"/>
  <c r="E43" i="5" s="1"/>
  <c r="E47" i="5" s="1"/>
  <c r="E48" i="5" s="1"/>
  <c r="AF50" i="4"/>
  <c r="E63" i="5" l="1"/>
  <c r="E55" i="5"/>
  <c r="AF51" i="4"/>
  <c r="AF52" i="4" s="1"/>
  <c r="AF53" i="4" s="1"/>
  <c r="AF54" i="4" s="1"/>
  <c r="AF55" i="4" s="1"/>
  <c r="AF56" i="4" s="1"/>
  <c r="AF57" i="4" s="1"/>
  <c r="AF58" i="4" s="1"/>
  <c r="AF59" i="4" s="1"/>
  <c r="AF60" i="4" s="1"/>
  <c r="AF61" i="4" s="1"/>
  <c r="F62" i="5"/>
  <c r="F54" i="5"/>
  <c r="F44" i="5" l="1" a="1"/>
  <c r="F44" i="5" s="1"/>
  <c r="F43" i="5" a="1"/>
  <c r="F43" i="5" s="1"/>
  <c r="F47" i="5" s="1"/>
  <c r="F48" i="5" s="1"/>
  <c r="B15" i="6"/>
  <c r="F55" i="5" l="1"/>
  <c r="F63" i="5"/>
</calcChain>
</file>

<file path=xl/sharedStrings.xml><?xml version="1.0" encoding="utf-8"?>
<sst xmlns="http://schemas.openxmlformats.org/spreadsheetml/2006/main" count="342" uniqueCount="285">
  <si>
    <t>Pyme Hub · Anexo A · Modelo económico-financiero (5 años)</t>
  </si>
  <si>
    <t>Supuestos del modelo</t>
  </si>
  <si>
    <t>Plan de personal por fases</t>
  </si>
  <si>
    <t>Trabajo Fin de Máster · EUDE Business School · The Best Team</t>
  </si>
  <si>
    <t>Mes</t>
  </si>
  <si>
    <t>Contenido de las hojas</t>
  </si>
  <si>
    <t>Supuestos: todas las hipótesis del modelo (celdas en azul = entradas editables; fondo amarillo = hipótesis clave).</t>
  </si>
  <si>
    <t>Azul = entrada editable. Las hipótesis por año se leen por columna (Año 1 … Año 5).</t>
  </si>
  <si>
    <t>Plantilla: plan de personal por fases, con mes de incorporación, salario bruto anual por año y disparador de contratación.</t>
  </si>
  <si>
    <t>Mensual: proyección mes a mes (60 meses): clientes, ingresos, costes, EBITDA, impuestos y tesorería.</t>
  </si>
  <si>
    <t>Anual: cuenta de resultados, flujo de caja, balance previsional e indicadores SaaS por año.</t>
  </si>
  <si>
    <t>Año</t>
  </si>
  <si>
    <t>Indicadores: VAN, TIR, payback, punto de equilibrio, valor residual y plan de financiación.</t>
  </si>
  <si>
    <t>Altas comerciales</t>
  </si>
  <si>
    <t>Pilotos convertidos</t>
  </si>
  <si>
    <t>Sensibilidad: resultados de los escenarios pesimista, base y optimista.</t>
  </si>
  <si>
    <t>PYMEs activas</t>
  </si>
  <si>
    <t>Salario bruto anual por año (sin SeguridSocial). Cada incorporación se activa solo si se cumple su disparador; en el escenario base se cumplen en el mes indicado.</t>
  </si>
  <si>
    <t>Selector de escenario (1 / 2 % / 1 = base)</t>
  </si>
  <si>
    <t>Empleados/PYME</t>
  </si>
  <si>
    <t>Convenciones de color</t>
  </si>
  <si>
    <t>Empleados cubiertos</t>
  </si>
  <si>
    <t>Texto azul: dato de entrada. Texto negro: fórmula. Texto verde: vínculo con otra hoja. Fondo amarillo: hipótesis clave.</t>
  </si>
  <si>
    <t>Precio medio efectivo (€/empl./mes)</t>
  </si>
  <si>
    <t>Todos los importes en euros (€). Año 1 = primer ejercicio de la sociedad; lanzamiento comercial en el mes 7.</t>
  </si>
  <si>
    <t>Ingresos SaaS</t>
  </si>
  <si>
    <t>Selector de escenario: hoja Supuestos, celdas B6 a B8 (1 / 2,0 % / 1 = escenario base).</t>
  </si>
  <si>
    <t>Volumen formación (GMV)</t>
  </si>
  <si>
    <t>Comisión marketplace</t>
  </si>
  <si>
    <t>Ingresos totales</t>
  </si>
  <si>
    <t>Salarios brutos</t>
  </si>
  <si>
    <t>Seguridad Social</t>
  </si>
  <si>
    <t>Personal total</t>
  </si>
  <si>
    <t>Puesto</t>
  </si>
  <si>
    <t>Marketing y marca</t>
  </si>
  <si>
    <t>Tipo</t>
  </si>
  <si>
    <t>Infraestructura</t>
  </si>
  <si>
    <t>Área</t>
  </si>
  <si>
    <t>API de IA</t>
  </si>
  <si>
    <t>Mes de inicio</t>
  </si>
  <si>
    <t>Pasarela de pago</t>
  </si>
  <si>
    <t>Año 1</t>
  </si>
  <si>
    <t>Gastos fijos</t>
  </si>
  <si>
    <t>Año 2</t>
  </si>
  <si>
    <t>Gastos puntuales</t>
  </si>
  <si>
    <t>Año 3</t>
  </si>
  <si>
    <t>Multiplicador de altas comerciales</t>
  </si>
  <si>
    <t>Costes operativos</t>
  </si>
  <si>
    <t>Año 4</t>
  </si>
  <si>
    <t>EBITDA</t>
  </si>
  <si>
    <t>Año 5</t>
  </si>
  <si>
    <t>Inversión (capex)</t>
  </si>
  <si>
    <t>Disparador de contratación</t>
  </si>
  <si>
    <t>Amortización</t>
  </si>
  <si>
    <t>EBIT</t>
  </si>
  <si>
    <t>Socio · CEO/CTO (dirección general y tecnología)</t>
  </si>
  <si>
    <t>Intereses</t>
  </si>
  <si>
    <t>Socio en nómina</t>
  </si>
  <si>
    <t>Resultado antes de impuestos</t>
  </si>
  <si>
    <t>Dirección</t>
  </si>
  <si>
    <t>Amortización préstamo</t>
  </si>
  <si>
    <t>Pesimista 0,70 · Base 1,00 · Optimista 1,30</t>
  </si>
  <si>
    <t>Entradas de financiación</t>
  </si>
  <si>
    <t>IS pagado</t>
  </si>
  <si>
    <t>Churn mensual de clientes (baja)</t>
  </si>
  <si>
    <t>Tesorería final</t>
  </si>
  <si>
    <t>Plantilla (personas)</t>
  </si>
  <si>
    <t>EBITDA&gt;0 sostenido</t>
  </si>
  <si>
    <t>Salarios comerciales</t>
  </si>
  <si>
    <t>Salarios Customer Success</t>
  </si>
  <si>
    <t>Pesimista 3,0 % · Base 2,0 % (≈22 % anual) · Optimista 1,5 %</t>
  </si>
  <si>
    <t>Inicio de la facturación (mes 7)</t>
  </si>
  <si>
    <t>Multiplicador de precio efectivo</t>
  </si>
  <si>
    <t>Socio · CRO (ventas y crecimiento)</t>
  </si>
  <si>
    <t>Comercial</t>
  </si>
  <si>
    <t>Desarrollador/a backend (LAMP / IA)</t>
  </si>
  <si>
    <t>Contratado</t>
  </si>
  <si>
    <t>Tecnología</t>
  </si>
  <si>
    <t>Pesimista 0,85 · Base 1,00 · Optimista 1,00</t>
  </si>
  <si>
    <t>Ronda de business angels cerrada</t>
  </si>
  <si>
    <t>Socio · COO (operaciones y Customer Success)</t>
  </si>
  <si>
    <t>Customer Success</t>
  </si>
  <si>
    <t>Precios y producto (SaaS B2B, € por empleado y mes)</t>
  </si>
  <si>
    <t>Plan Entrada (Bienestar + Upskilling)</t>
  </si>
  <si>
    <t>≥ 10 PYMEs activas (condición de la Tabla 28 original)</t>
  </si>
  <si>
    <t>Ejecutivo/a comercial B2B</t>
  </si>
  <si>
    <t>Tarifa del documento (1.5 / 8.2.2)</t>
  </si>
  <si>
    <t>Plan Completo (+ IA de RR. HH., riesgo de rotación y módulo de talento)</t>
  </si>
  <si>
    <t>≥ 10 PYMEs activas</t>
  </si>
  <si>
    <t>Mes de inicio de la facturación</t>
  </si>
  <si>
    <t>Community manager de formadores (Skills)</t>
  </si>
  <si>
    <t>Marketplace</t>
  </si>
  <si>
    <t>Pilotos gratuitos en los meses 4 a 6 (documento 3.4)</t>
  </si>
  <si>
    <t>PYMEs piloto que convierten a clientes en el mes de inicio</t>
  </si>
  <si>
    <t>Lanzamiento del marketplace y ≥ 15 formadores activos</t>
  </si>
  <si>
    <t>Mes de inicio del marketplace Pyme Hub Skills</t>
  </si>
  <si>
    <t>Desarrollador/a frontend / móvil</t>
  </si>
  <si>
    <t>Requiere una base mínima de empleados cubiertos</t>
  </si>
  <si>
    <t>Comisión de la plataforma sobre cada formación vendida</t>
  </si>
  <si>
    <t>Decisión D-02; rango habitual de marketplaces B2B 15–30 % (validar)</t>
  </si>
  <si>
    <t>Seguridad Social a cargo de la empresa (sobre salario bruto)</t>
  </si>
  <si>
    <t>Aproximación del tipo total empresa (contingencias comunes, desempleo, FOGASA, FP, MEI)</t>
  </si>
  <si>
    <t>Coste de API de IA por empleado cubierto y mes</t>
  </si>
  <si>
    <t>MRR ≥ 20.000 €</t>
  </si>
  <si>
    <t>Asesor de formación (Mistral AI); estimación prudente</t>
  </si>
  <si>
    <t>Comisión de la pasarela de pago sobre ingresos</t>
  </si>
  <si>
    <t>Customer Success 2</t>
  </si>
  <si>
    <t>Cobro por domiciliación SEPA / tarjeta</t>
  </si>
  <si>
    <t>Campaña de captación de pilotos (meses 4 a 6, total)</t>
  </si>
  <si>
    <t>≥ 60 PYMEs activas</t>
  </si>
  <si>
    <t>Ejecutivo/a comercial 2</t>
  </si>
  <si>
    <t>Vida útil del inmovilizado (meses)</t>
  </si>
  <si>
    <t>Equipos informáticos</t>
  </si>
  <si>
    <t>Tipo reducido del Impuesto sobre Sociedades (entidades de nueva creación)</t>
  </si>
  <si>
    <t>EBITDA mensual positivo</t>
  </si>
  <si>
    <t>Art. 29.1 LIS: primer periodo con base positiva y el siguiente</t>
  </si>
  <si>
    <t>Analista de datos e IA</t>
  </si>
  <si>
    <t>Tipo general del Impuesto sobre Sociedades</t>
  </si>
  <si>
    <t>≥ 2.500 empleados cubiertos</t>
  </si>
  <si>
    <t>Hipótesis por año</t>
  </si>
  <si>
    <t>Customer Success 3</t>
  </si>
  <si>
    <t>Concepto</t>
  </si>
  <si>
    <t>≥ 110 PYMEs activas</t>
  </si>
  <si>
    <t>Administración y finanzas</t>
  </si>
  <si>
    <t>Estructura</t>
  </si>
  <si>
    <t>Nota</t>
  </si>
  <si>
    <t>Altas comerciales de PYMEs por mes</t>
  </si>
  <si>
    <t>Ejecutivo/a comercial 3</t>
  </si>
  <si>
    <t>Año 1 solo desde el mes de inicio de la facturación</t>
  </si>
  <si>
    <t>Empleados cubiertos por PYME</t>
  </si>
  <si>
    <t>MRR ≥ 75.000 €</t>
  </si>
  <si>
    <t>Desarrollador/a 3</t>
  </si>
  <si>
    <t>PYME logística de última milla (documento 8.1)</t>
  </si>
  <si>
    <t>% de clientes en plan Completo</t>
  </si>
  <si>
    <t>Migración progresiva de Entrada a Completo</t>
  </si>
  <si>
    <t>Descuento efectivo medio sobre tarifa</t>
  </si>
  <si>
    <t>MRR ≥ 80.000 €</t>
  </si>
  <si>
    <t>Año 1: descuento de lanzamiento; después, pago anual y packs</t>
  </si>
  <si>
    <t>Formación comprada por empleado cubierto (€/año)</t>
  </si>
  <si>
    <t>Socios sin nómina</t>
  </si>
  <si>
    <t>Volumen bruto del marketplace generado por los clientes</t>
  </si>
  <si>
    <t>Multiplicador por compras de operarios externos</t>
  </si>
  <si>
    <t xml:space="preserve">Los otros tres socios (CPO, CFO y CLO) aportan dedicación parcial sin retribución, compensada con participaciones sujetas a vesting (capital intelectual valorado en el apartado 10.5). </t>
  </si>
  <si>
    <t>Operarios de la comunidad no vinculados a una PYME cliente</t>
  </si>
  <si>
    <t>CAC de marketing por nueva PYME</t>
  </si>
  <si>
    <t>Campañas, eventos, alianzas; no incluye salarios comerciales</t>
  </si>
  <si>
    <t>Captación de formadores (€/mes)</t>
  </si>
  <si>
    <t>Comunidad de formadores de Pyme Hub Skills</t>
  </si>
  <si>
    <t>Inversión en marca (% de ingresos)</t>
  </si>
  <si>
    <t>Infraestructura cloud (€/mes)</t>
  </si>
  <si>
    <t>VPS actual → escalado</t>
  </si>
  <si>
    <t>Gastos fijos de estructura (€/mes)</t>
  </si>
  <si>
    <t>Gestoría 150, DPO externo 120, seguros 100, coworking 250, software 200 (+ crecimiento)</t>
  </si>
  <si>
    <t>Gastos puntuales e inversiones (por mes)</t>
  </si>
  <si>
    <t>Importe</t>
  </si>
  <si>
    <t>Constitución, marca, dominio y documentación legal</t>
  </si>
  <si>
    <t>Notaría y registro 700; marca y dominio 1.500; T&amp;C, contrato de encargado, pacto de socios 3.000</t>
  </si>
  <si>
    <t>Auditoría RGPD y ciberseguridad</t>
  </si>
  <si>
    <t>Auditoría RGPD, ciberseguridad y AI Act</t>
  </si>
  <si>
    <t>Inversión en equipos (capex)</t>
  </si>
  <si>
    <t>Renovación y ampliación de equipos</t>
  </si>
  <si>
    <t>Ampliación de equipos</t>
  </si>
  <si>
    <t>Financiación</t>
  </si>
  <si>
    <t>Capital social (6 socios × 5.000 €), mes 1</t>
  </si>
  <si>
    <t>Préstamo participativo ENISA</t>
  </si>
  <si>
    <t>Verificar línea vigente (Jóvenes Emprendedores / Emprendedores) y requisitos de fondos propios</t>
  </si>
  <si>
    <t>Mes de desembolso ENISA</t>
  </si>
  <si>
    <t>Tipo de interés ENISA (tramo fijo aproximado)</t>
  </si>
  <si>
    <t>ENISA combina un tramo fijo y otro variable según resultados; se simplifica</t>
  </si>
  <si>
    <t>Carencia de amortización (meses desde el desembolso)</t>
  </si>
  <si>
    <t>Amortización en los meses 37 a 60</t>
  </si>
  <si>
    <t>Número de cuotas de amortización</t>
  </si>
  <si>
    <t>Ronda de business angels</t>
  </si>
  <si>
    <t>Tras los resultados de los pilotos; ampliación de capital</t>
  </si>
  <si>
    <t>Mes de entrada de la ronda</t>
  </si>
  <si>
    <t>Valoración</t>
  </si>
  <si>
    <t>Tasa de descuento (rentabilidad exigida startup en fase semilla)</t>
  </si>
  <si>
    <t>Rango habitual 25–40 % en capital riesgo temprano; se usa el extremo prudente-bajo</t>
  </si>
  <si>
    <t>Crecimiento a perpetuidad para el valor residual</t>
  </si>
  <si>
    <t>Proyección anual</t>
  </si>
  <si>
    <t>Concepto (€)</t>
  </si>
  <si>
    <t>Total</t>
  </si>
  <si>
    <t>Actividad</t>
  </si>
  <si>
    <t>PYMEs activas (cierre)</t>
  </si>
  <si>
    <t>Empleados cubiertos (cierre)</t>
  </si>
  <si>
    <t>Plantilla (personas, cierre)</t>
  </si>
  <si>
    <t>MRR a cierre (ingreso mensual recurrente)</t>
  </si>
  <si>
    <t>Cuenta de resultados</t>
  </si>
  <si>
    <t>Volumen de formación vendida (GMV)</t>
  </si>
  <si>
    <t>Comisión marketplace Pyme Hub Skills</t>
  </si>
  <si>
    <t>Personal (salarios + Seguridad Social)</t>
  </si>
  <si>
    <t>Infraestructura, IA y pasarela</t>
  </si>
  <si>
    <t>Gastos fijos y puntuales</t>
  </si>
  <si>
    <t>Costes operativos totales</t>
  </si>
  <si>
    <t>Margen EBITDA</t>
  </si>
  <si>
    <t>Liquidación del Impuesto sobre Sociedades</t>
  </si>
  <si>
    <t>Bases negativas pendientes al inicio</t>
  </si>
  <si>
    <t>Compensación de bases negativas</t>
  </si>
  <si>
    <t>Base imponible</t>
  </si>
  <si>
    <t>Años previos con base positiva</t>
  </si>
  <si>
    <t>Tipo aplicable</t>
  </si>
  <si>
    <t>Bases negativas pendientes al cierre</t>
  </si>
  <si>
    <t>Impuesto sobre Sociedades devengado</t>
  </si>
  <si>
    <t>Resultado neto</t>
  </si>
  <si>
    <t>Margen neto</t>
  </si>
  <si>
    <t>Flujo de caja</t>
  </si>
  <si>
    <t>Impuesto sobre Sociedades pagado</t>
  </si>
  <si>
    <t>Flujo de caja libre (FCF)</t>
  </si>
  <si>
    <t>FCF acumulado</t>
  </si>
  <si>
    <t>Intereses y amortización de deuda</t>
  </si>
  <si>
    <t>Tesorería a cierre</t>
  </si>
  <si>
    <t>Tesorería mínima del año</t>
  </si>
  <si>
    <t>Balance previsional (cierre)</t>
  </si>
  <si>
    <t>Inmovilizado neto</t>
  </si>
  <si>
    <t>Indicadores de viabilidad</t>
  </si>
  <si>
    <t>Indicador</t>
  </si>
  <si>
    <t>Valor</t>
  </si>
  <si>
    <t>Lectura</t>
  </si>
  <si>
    <t>Tasa de descuento (k)</t>
  </si>
  <si>
    <t>Rentabilidad exigida a una startup en fase semilla</t>
  </si>
  <si>
    <t>Valor residual al final del año 5 (Gordon, g = 2 %)</t>
  </si>
  <si>
    <t>Tesorería</t>
  </si>
  <si>
    <t>Valor de los flujos posteriores al año 5</t>
  </si>
  <si>
    <t>VAN de los flujos de caja libres (años 1–5, sin valor residual)</t>
  </si>
  <si>
    <t>Total activo</t>
  </si>
  <si>
    <t>Valor creado solo con el horizonte explícito</t>
  </si>
  <si>
    <t>VAN con valor residual</t>
  </si>
  <si>
    <t>Capital y ampliaciones</t>
  </si>
  <si>
    <t>Valor total del proyecto a la tasa exigida</t>
  </si>
  <si>
    <t>TIR sin valor residual</t>
  </si>
  <si>
    <t>Rentabilidad de los flujos de los 5 años</t>
  </si>
  <si>
    <t>TIR con valor residual</t>
  </si>
  <si>
    <t>Incluye el valor residual en el año 5</t>
  </si>
  <si>
    <t>Payback (años, sobre FCF acumulado)</t>
  </si>
  <si>
    <t>Resultados acumulados</t>
  </si>
  <si>
    <t>Patrimonio neto</t>
  </si>
  <si>
    <t>Momento en que el FCF acumulado se vuelve positivo</t>
  </si>
  <si>
    <t>Mes desde el que el EBITDA es positivo de forma sostenida</t>
  </si>
  <si>
    <t>Punto de equilibrio operativo</t>
  </si>
  <si>
    <t>PYMEs activas en ese mes</t>
  </si>
  <si>
    <t>Clientes necesarios para cubrir la estructura de ese momento</t>
  </si>
  <si>
    <t>Necesidad máxima de financiación (caja acumulada sin financiación, mínimo)</t>
  </si>
  <si>
    <t>Pérdidas y capex que hay que financiar antes del equilibrio</t>
  </si>
  <si>
    <t>Financiación total prevista</t>
  </si>
  <si>
    <t>Capital + ENISA + business angels</t>
  </si>
  <si>
    <t>Tesorería mínima en los 60 meses</t>
  </si>
  <si>
    <t>Debe mantenerse positiva</t>
  </si>
  <si>
    <t>Hacienda acreedora por IS</t>
  </si>
  <si>
    <t>Plan de financiación</t>
  </si>
  <si>
    <t>Fuente</t>
  </si>
  <si>
    <t>Momento y condiciones</t>
  </si>
  <si>
    <t>Capital social (6 socios × 5.000 €)</t>
  </si>
  <si>
    <t>Total pasivo y patrimonio neto</t>
  </si>
  <si>
    <t>Mes 1</t>
  </si>
  <si>
    <t>Mes 3 · carencia hasta el mes 36 · 24 cuotas</t>
  </si>
  <si>
    <t>Ronda de business angels (ampliación de capital)</t>
  </si>
  <si>
    <t>Comprobación (debe ser 0)</t>
  </si>
  <si>
    <t>Mes 10 · tras los resultados de los pilotos</t>
  </si>
  <si>
    <t>Aportación no dineraria (fuera de caja): el MVP desarrollado por el equipo promotor se integra en el capital intelectual valorado en el apartado 10.5.</t>
  </si>
  <si>
    <t>Métricas SaaS y ratios</t>
  </si>
  <si>
    <t>Ingreso medio por cliente (ARPA, €/mes)</t>
  </si>
  <si>
    <t>Flujos para la TIR con valor residual</t>
  </si>
  <si>
    <t>FCF (+ valor residual en el año 5)</t>
  </si>
  <si>
    <t>Análisis de sensibilidad</t>
  </si>
  <si>
    <t>Valores obtenidos ejecutando este mismo modelo con el selector de escenario de la hoja Supuestos (B6:B8). La plantilla se mantiene fija en los tres escenarios.</t>
  </si>
  <si>
    <t>Escenario</t>
  </si>
  <si>
    <t>Multiplicador de altas</t>
  </si>
  <si>
    <t>Churn mensual</t>
  </si>
  <si>
    <t>Multiplicador de precio</t>
  </si>
  <si>
    <t>PYMEs año 5</t>
  </si>
  <si>
    <t>Ingresos año 5</t>
  </si>
  <si>
    <t>EBITDA año 5</t>
  </si>
  <si>
    <t>Tesorería mínima</t>
  </si>
  <si>
    <t>Caja acumulada sin financiación (mes a mes, auxiliar)</t>
  </si>
  <si>
    <t>Pesimista</t>
  </si>
  <si>
    <t>Base</t>
  </si>
  <si>
    <t>Optimista</t>
  </si>
  <si>
    <t>Lectura: el escenario pesimista no es viable con la plantilla fija. Por eso cada contratación de la hoja Plantilla se activa solo al cumplirse su disparador (clientes, MRR o EBITDA), lo que limita las pérdidas si la captación va más lenta.</t>
  </si>
  <si>
    <t>Margen bruto (tras infraestructura, IA, pasarela y Customer Success)</t>
  </si>
  <si>
    <t>CAC completo (marketing + comercial) por nueva PYME</t>
  </si>
  <si>
    <t>LTV (ARPA × margen bruto / churn)</t>
  </si>
  <si>
    <t>LTV / CAC</t>
  </si>
  <si>
    <t>ROE (resultado neto / patrimonio neto)</t>
  </si>
  <si>
    <t>ROA (resultado neto / activo total)</t>
  </si>
  <si>
    <t>% crecimiento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</si>
</sst>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&quot; €&quot;;\(#,##0&quot; €)&quot;;\-"/>
    <numFmt numFmtId="165" formatCode="0.0%;\(0.0%\);\-"/>
    <numFmt numFmtId="166" formatCode="#,##0.00&quot; €&quot;;\(#,##0.00&quot; €)&quot;;\-"/>
    <numFmt numFmtId="167" formatCode="#,##0.0;\(#,##0.0\);\-"/>
    <numFmt numFmtId="168" formatCode="#,##0;\(#,##0\);\-"/>
    <numFmt numFmtId="169" formatCode="0.0"/>
    <numFmt numFmtId="170" formatCode="0.0%"/>
    <numFmt numFmtId="171" formatCode="0.0\x"/>
  </numFmts>
  <fonts count="12" x14ac:knownFonts="1">
    <font>
      <sz val="11"/>
      <color theme="1"/>
      <name val="Calibri"/>
      <scheme val="minor"/>
    </font>
    <font>
      <b/>
      <sz val="14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i/>
      <sz val="11"/>
      <color theme="1"/>
      <name val="Arial"/>
    </font>
    <font>
      <b/>
      <sz val="11"/>
      <color rgb="FFFFFFFF"/>
      <name val="Arial"/>
    </font>
    <font>
      <sz val="11"/>
      <color rgb="FF0000FF"/>
      <name val="Arial"/>
    </font>
    <font>
      <i/>
      <sz val="11"/>
      <color rgb="FF555555"/>
      <name val="Arial"/>
    </font>
    <font>
      <sz val="11"/>
      <color rgb="FF008000"/>
      <name val="Arial"/>
    </font>
    <font>
      <b/>
      <sz val="11"/>
      <color rgb="FF008000"/>
      <name val="Arial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5A"/>
        <bgColor rgb="FF1F4E5A"/>
      </patternFill>
    </fill>
    <fill>
      <patternFill patternType="solid">
        <fgColor rgb="FFDDEBEE"/>
        <bgColor rgb="FFDDEBEE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/>
    <xf numFmtId="2" fontId="7" fillId="4" borderId="1" xfId="0" applyNumberFormat="1" applyFont="1" applyFill="1" applyBorder="1"/>
    <xf numFmtId="0" fontId="8" fillId="0" borderId="0" xfId="0" applyFont="1"/>
    <xf numFmtId="0" fontId="7" fillId="0" borderId="0" xfId="0" applyFont="1"/>
    <xf numFmtId="164" fontId="7" fillId="0" borderId="0" xfId="0" applyNumberFormat="1" applyFont="1"/>
    <xf numFmtId="165" fontId="7" fillId="4" borderId="1" xfId="0" applyNumberFormat="1" applyFont="1" applyFill="1" applyBorder="1"/>
    <xf numFmtId="1" fontId="2" fillId="0" borderId="0" xfId="0" applyNumberFormat="1" applyFont="1"/>
    <xf numFmtId="166" fontId="7" fillId="0" borderId="0" xfId="0" applyNumberFormat="1" applyFont="1"/>
    <xf numFmtId="1" fontId="7" fillId="0" borderId="0" xfId="0" applyNumberFormat="1" applyFont="1"/>
    <xf numFmtId="165" fontId="7" fillId="0" borderId="0" xfId="0" applyNumberFormat="1" applyFont="1"/>
    <xf numFmtId="167" fontId="2" fillId="0" borderId="0" xfId="0" applyNumberFormat="1" applyFont="1"/>
    <xf numFmtId="167" fontId="7" fillId="4" borderId="1" xfId="0" applyNumberFormat="1" applyFont="1" applyFill="1" applyBorder="1"/>
    <xf numFmtId="168" fontId="7" fillId="0" borderId="0" xfId="0" applyNumberFormat="1" applyFont="1"/>
    <xf numFmtId="164" fontId="7" fillId="4" borderId="1" xfId="0" applyNumberFormat="1" applyFont="1" applyFill="1" applyBorder="1"/>
    <xf numFmtId="2" fontId="7" fillId="0" borderId="0" xfId="0" applyNumberFormat="1" applyFont="1"/>
    <xf numFmtId="168" fontId="2" fillId="0" borderId="0" xfId="0" applyNumberFormat="1" applyFont="1"/>
    <xf numFmtId="164" fontId="7" fillId="5" borderId="0" xfId="0" applyNumberFormat="1" applyFont="1" applyFill="1"/>
    <xf numFmtId="166" fontId="2" fillId="0" borderId="0" xfId="0" applyNumberFormat="1" applyFont="1"/>
    <xf numFmtId="164" fontId="2" fillId="0" borderId="0" xfId="0" applyNumberFormat="1" applyFont="1"/>
    <xf numFmtId="0" fontId="7" fillId="6" borderId="0" xfId="0" applyFont="1" applyFill="1"/>
    <xf numFmtId="164" fontId="7" fillId="6" borderId="0" xfId="0" applyNumberFormat="1" applyFont="1" applyFill="1"/>
    <xf numFmtId="0" fontId="4" fillId="3" borderId="1" xfId="0" applyFont="1" applyFill="1" applyBorder="1"/>
    <xf numFmtId="168" fontId="9" fillId="0" borderId="0" xfId="0" applyNumberFormat="1" applyFont="1"/>
    <xf numFmtId="1" fontId="9" fillId="0" borderId="0" xfId="0" applyNumberFormat="1" applyFont="1"/>
    <xf numFmtId="164" fontId="9" fillId="0" borderId="0" xfId="0" applyNumberFormat="1" applyFont="1"/>
    <xf numFmtId="164" fontId="3" fillId="0" borderId="0" xfId="0" applyNumberFormat="1" applyFont="1"/>
    <xf numFmtId="164" fontId="10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  <xf numFmtId="169" fontId="3" fillId="0" borderId="0" xfId="0" applyNumberFormat="1" applyFont="1"/>
    <xf numFmtId="1" fontId="3" fillId="0" borderId="0" xfId="0" applyNumberFormat="1" applyFont="1"/>
    <xf numFmtId="2" fontId="2" fillId="0" borderId="0" xfId="0" applyNumberFormat="1" applyFont="1"/>
    <xf numFmtId="170" fontId="2" fillId="0" borderId="0" xfId="0" applyNumberFormat="1" applyFont="1"/>
    <xf numFmtId="3" fontId="2" fillId="0" borderId="0" xfId="0" applyNumberFormat="1" applyFont="1"/>
    <xf numFmtId="2" fontId="3" fillId="0" borderId="0" xfId="0" applyNumberFormat="1" applyFont="1"/>
    <xf numFmtId="170" fontId="3" fillId="0" borderId="0" xfId="0" applyNumberFormat="1" applyFont="1"/>
    <xf numFmtId="3" fontId="3" fillId="0" borderId="0" xfId="0" applyNumberFormat="1" applyFont="1"/>
    <xf numFmtId="171" fontId="2" fillId="0" borderId="0" xfId="0" applyNumberFormat="1" applyFont="1"/>
    <xf numFmtId="10" fontId="2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baseColWidth="10" defaultColWidth="14.453125" defaultRowHeight="15" customHeight="1" x14ac:dyDescent="0.35"/>
  <cols>
    <col min="1" max="1" width="120" customWidth="1"/>
    <col min="2" max="26" width="8.7265625" customWidth="1"/>
  </cols>
  <sheetData>
    <row r="1" spans="1:1" ht="17.25" customHeight="1" x14ac:dyDescent="0.4">
      <c r="A1" s="1" t="s">
        <v>0</v>
      </c>
    </row>
    <row r="2" spans="1:1" ht="15" customHeight="1" x14ac:dyDescent="0.35">
      <c r="A2" s="2" t="s">
        <v>3</v>
      </c>
    </row>
    <row r="3" spans="1:1" ht="15" customHeight="1" x14ac:dyDescent="0.35">
      <c r="A3" s="3"/>
    </row>
    <row r="4" spans="1:1" ht="15" customHeight="1" x14ac:dyDescent="0.35">
      <c r="A4" s="2" t="s">
        <v>5</v>
      </c>
    </row>
    <row r="5" spans="1:1" ht="15" customHeight="1" x14ac:dyDescent="0.35">
      <c r="A5" s="3" t="s">
        <v>6</v>
      </c>
    </row>
    <row r="6" spans="1:1" ht="15" customHeight="1" x14ac:dyDescent="0.35">
      <c r="A6" s="3" t="s">
        <v>8</v>
      </c>
    </row>
    <row r="7" spans="1:1" ht="15" customHeight="1" x14ac:dyDescent="0.35">
      <c r="A7" s="3" t="s">
        <v>9</v>
      </c>
    </row>
    <row r="8" spans="1:1" ht="15" customHeight="1" x14ac:dyDescent="0.35">
      <c r="A8" s="3" t="s">
        <v>10</v>
      </c>
    </row>
    <row r="9" spans="1:1" ht="15" customHeight="1" x14ac:dyDescent="0.35">
      <c r="A9" s="3" t="s">
        <v>12</v>
      </c>
    </row>
    <row r="10" spans="1:1" ht="15" customHeight="1" x14ac:dyDescent="0.35">
      <c r="A10" s="3" t="s">
        <v>15</v>
      </c>
    </row>
    <row r="11" spans="1:1" ht="15" customHeight="1" x14ac:dyDescent="0.35">
      <c r="A11" s="3"/>
    </row>
    <row r="12" spans="1:1" ht="15" customHeight="1" x14ac:dyDescent="0.35">
      <c r="A12" s="2" t="s">
        <v>20</v>
      </c>
    </row>
    <row r="13" spans="1:1" ht="15" customHeight="1" x14ac:dyDescent="0.35">
      <c r="A13" s="3" t="s">
        <v>22</v>
      </c>
    </row>
    <row r="14" spans="1:1" ht="15" customHeight="1" x14ac:dyDescent="0.35">
      <c r="A14" s="3" t="s">
        <v>24</v>
      </c>
    </row>
    <row r="15" spans="1:1" ht="15" customHeight="1" x14ac:dyDescent="0.35">
      <c r="A15" s="3" t="s">
        <v>26</v>
      </c>
    </row>
    <row r="16" spans="1:1" ht="14.5" x14ac:dyDescent="0.35">
      <c r="A16" s="4"/>
    </row>
    <row r="17" spans="1:1" ht="14.5" x14ac:dyDescent="0.35">
      <c r="A17" s="4"/>
    </row>
    <row r="18" spans="1:1" ht="14.5" x14ac:dyDescent="0.35">
      <c r="A18" s="4"/>
    </row>
    <row r="19" spans="1:1" ht="14.5" x14ac:dyDescent="0.35">
      <c r="A19" s="4"/>
    </row>
    <row r="20" spans="1:1" ht="14.5" x14ac:dyDescent="0.35">
      <c r="A20" s="4"/>
    </row>
    <row r="21" spans="1:1" ht="15.75" customHeight="1" x14ac:dyDescent="0.35">
      <c r="A21" s="4"/>
    </row>
    <row r="22" spans="1:1" ht="15.75" customHeight="1" x14ac:dyDescent="0.35">
      <c r="A22" s="4"/>
    </row>
    <row r="23" spans="1:1" ht="15.75" customHeight="1" x14ac:dyDescent="0.35">
      <c r="A23" s="4"/>
    </row>
    <row r="24" spans="1:1" ht="15.75" customHeight="1" x14ac:dyDescent="0.35">
      <c r="A24" s="4"/>
    </row>
    <row r="25" spans="1:1" ht="15.75" customHeight="1" x14ac:dyDescent="0.35">
      <c r="A25" s="4"/>
    </row>
    <row r="26" spans="1:1" ht="15.75" customHeight="1" x14ac:dyDescent="0.35">
      <c r="A26" s="4"/>
    </row>
    <row r="27" spans="1:1" ht="15.75" customHeight="1" x14ac:dyDescent="0.35">
      <c r="A27" s="4"/>
    </row>
    <row r="28" spans="1:1" ht="15.75" customHeight="1" x14ac:dyDescent="0.35">
      <c r="A28" s="4"/>
    </row>
    <row r="29" spans="1:1" ht="15.75" customHeight="1" x14ac:dyDescent="0.35">
      <c r="A29" s="4"/>
    </row>
    <row r="30" spans="1:1" ht="15.75" customHeight="1" x14ac:dyDescent="0.35">
      <c r="A30" s="4"/>
    </row>
    <row r="31" spans="1:1" ht="15.75" customHeight="1" x14ac:dyDescent="0.35">
      <c r="A31" s="4"/>
    </row>
    <row r="32" spans="1:1" ht="15.75" customHeight="1" x14ac:dyDescent="0.35">
      <c r="A32" s="4"/>
    </row>
    <row r="33" spans="1:1" ht="15.75" customHeight="1" x14ac:dyDescent="0.35">
      <c r="A33" s="4"/>
    </row>
    <row r="34" spans="1:1" ht="15.75" customHeight="1" x14ac:dyDescent="0.35">
      <c r="A34" s="4"/>
    </row>
    <row r="35" spans="1:1" ht="15.75" customHeight="1" x14ac:dyDescent="0.35">
      <c r="A35" s="4"/>
    </row>
    <row r="36" spans="1:1" ht="15.75" customHeight="1" x14ac:dyDescent="0.35">
      <c r="A36" s="4"/>
    </row>
    <row r="37" spans="1:1" ht="15.75" customHeight="1" x14ac:dyDescent="0.35">
      <c r="A37" s="4"/>
    </row>
    <row r="38" spans="1:1" ht="15.75" customHeight="1" x14ac:dyDescent="0.35">
      <c r="A38" s="4"/>
    </row>
    <row r="39" spans="1:1" ht="15.75" customHeight="1" x14ac:dyDescent="0.35">
      <c r="A39" s="4"/>
    </row>
    <row r="40" spans="1:1" ht="15.75" customHeight="1" x14ac:dyDescent="0.35">
      <c r="A40" s="4"/>
    </row>
    <row r="41" spans="1:1" ht="15.75" customHeight="1" x14ac:dyDescent="0.35">
      <c r="A41" s="4"/>
    </row>
    <row r="42" spans="1:1" ht="15.75" customHeight="1" x14ac:dyDescent="0.35">
      <c r="A42" s="4"/>
    </row>
    <row r="43" spans="1:1" ht="15.75" customHeight="1" x14ac:dyDescent="0.35">
      <c r="A43" s="4"/>
    </row>
    <row r="44" spans="1:1" ht="15.75" customHeight="1" x14ac:dyDescent="0.35">
      <c r="A44" s="4"/>
    </row>
    <row r="45" spans="1:1" ht="15.75" customHeight="1" x14ac:dyDescent="0.35">
      <c r="A45" s="4"/>
    </row>
    <row r="46" spans="1:1" ht="15.75" customHeight="1" x14ac:dyDescent="0.35">
      <c r="A46" s="4"/>
    </row>
    <row r="47" spans="1:1" ht="15.75" customHeight="1" x14ac:dyDescent="0.35">
      <c r="A47" s="4"/>
    </row>
    <row r="48" spans="1:1" ht="15.75" customHeight="1" x14ac:dyDescent="0.35">
      <c r="A48" s="4"/>
    </row>
    <row r="49" spans="1:1" ht="15.75" customHeight="1" x14ac:dyDescent="0.35">
      <c r="A49" s="4"/>
    </row>
    <row r="50" spans="1:1" ht="15.75" customHeight="1" x14ac:dyDescent="0.35">
      <c r="A50" s="4"/>
    </row>
    <row r="51" spans="1:1" ht="15.75" customHeight="1" x14ac:dyDescent="0.35">
      <c r="A51" s="4"/>
    </row>
    <row r="52" spans="1:1" ht="15.75" customHeight="1" x14ac:dyDescent="0.35">
      <c r="A52" s="4"/>
    </row>
    <row r="53" spans="1:1" ht="15.75" customHeight="1" x14ac:dyDescent="0.35">
      <c r="A53" s="4"/>
    </row>
    <row r="54" spans="1:1" ht="15.75" customHeight="1" x14ac:dyDescent="0.35">
      <c r="A54" s="4"/>
    </row>
    <row r="55" spans="1:1" ht="15.75" customHeight="1" x14ac:dyDescent="0.35">
      <c r="A55" s="4"/>
    </row>
    <row r="56" spans="1:1" ht="15.75" customHeight="1" x14ac:dyDescent="0.35">
      <c r="A56" s="4"/>
    </row>
    <row r="57" spans="1:1" ht="15.75" customHeight="1" x14ac:dyDescent="0.35">
      <c r="A57" s="4"/>
    </row>
    <row r="58" spans="1:1" ht="15.75" customHeight="1" x14ac:dyDescent="0.35">
      <c r="A58" s="4"/>
    </row>
    <row r="59" spans="1:1" ht="15.75" customHeight="1" x14ac:dyDescent="0.35">
      <c r="A59" s="4"/>
    </row>
    <row r="60" spans="1:1" ht="15.75" customHeight="1" x14ac:dyDescent="0.35">
      <c r="A60" s="4"/>
    </row>
    <row r="61" spans="1:1" ht="15.75" customHeight="1" x14ac:dyDescent="0.35">
      <c r="A61" s="4"/>
    </row>
    <row r="62" spans="1:1" ht="15.75" customHeight="1" x14ac:dyDescent="0.35">
      <c r="A62" s="4"/>
    </row>
    <row r="63" spans="1:1" ht="15.75" customHeight="1" x14ac:dyDescent="0.35">
      <c r="A63" s="4"/>
    </row>
    <row r="64" spans="1:1" ht="15.75" customHeight="1" x14ac:dyDescent="0.35">
      <c r="A64" s="4"/>
    </row>
    <row r="65" spans="1:1" ht="15.75" customHeight="1" x14ac:dyDescent="0.35">
      <c r="A65" s="4"/>
    </row>
    <row r="66" spans="1:1" ht="15.75" customHeight="1" x14ac:dyDescent="0.35">
      <c r="A66" s="4"/>
    </row>
    <row r="67" spans="1:1" ht="15.75" customHeight="1" x14ac:dyDescent="0.35">
      <c r="A67" s="4"/>
    </row>
    <row r="68" spans="1:1" ht="15.75" customHeight="1" x14ac:dyDescent="0.35">
      <c r="A68" s="4"/>
    </row>
    <row r="69" spans="1:1" ht="15.75" customHeight="1" x14ac:dyDescent="0.35">
      <c r="A69" s="4"/>
    </row>
    <row r="70" spans="1:1" ht="15.75" customHeight="1" x14ac:dyDescent="0.35">
      <c r="A70" s="4"/>
    </row>
    <row r="71" spans="1:1" ht="15.75" customHeight="1" x14ac:dyDescent="0.35">
      <c r="A71" s="4"/>
    </row>
    <row r="72" spans="1:1" ht="15.75" customHeight="1" x14ac:dyDescent="0.35">
      <c r="A72" s="4"/>
    </row>
    <row r="73" spans="1:1" ht="15.75" customHeight="1" x14ac:dyDescent="0.35">
      <c r="A73" s="4"/>
    </row>
    <row r="74" spans="1:1" ht="15.75" customHeight="1" x14ac:dyDescent="0.35">
      <c r="A74" s="4"/>
    </row>
    <row r="75" spans="1:1" ht="15.75" customHeight="1" x14ac:dyDescent="0.35">
      <c r="A75" s="4"/>
    </row>
    <row r="76" spans="1:1" ht="15.75" customHeight="1" x14ac:dyDescent="0.35">
      <c r="A76" s="4"/>
    </row>
    <row r="77" spans="1:1" ht="15.75" customHeight="1" x14ac:dyDescent="0.35">
      <c r="A77" s="4"/>
    </row>
    <row r="78" spans="1:1" ht="15.75" customHeight="1" x14ac:dyDescent="0.35">
      <c r="A78" s="4"/>
    </row>
    <row r="79" spans="1:1" ht="15.75" customHeight="1" x14ac:dyDescent="0.35">
      <c r="A79" s="4"/>
    </row>
    <row r="80" spans="1:1" ht="15.75" customHeight="1" x14ac:dyDescent="0.35">
      <c r="A80" s="4"/>
    </row>
    <row r="81" spans="1:1" ht="15.75" customHeight="1" x14ac:dyDescent="0.35">
      <c r="A81" s="4"/>
    </row>
    <row r="82" spans="1:1" ht="15.75" customHeight="1" x14ac:dyDescent="0.35">
      <c r="A82" s="4"/>
    </row>
    <row r="83" spans="1:1" ht="15.75" customHeight="1" x14ac:dyDescent="0.35">
      <c r="A83" s="4"/>
    </row>
    <row r="84" spans="1:1" ht="15.75" customHeight="1" x14ac:dyDescent="0.35">
      <c r="A84" s="4"/>
    </row>
    <row r="85" spans="1:1" ht="15.75" customHeight="1" x14ac:dyDescent="0.35">
      <c r="A85" s="4"/>
    </row>
    <row r="86" spans="1:1" ht="15.75" customHeight="1" x14ac:dyDescent="0.35">
      <c r="A86" s="4"/>
    </row>
    <row r="87" spans="1:1" ht="15.75" customHeight="1" x14ac:dyDescent="0.35">
      <c r="A87" s="4"/>
    </row>
    <row r="88" spans="1:1" ht="15.75" customHeight="1" x14ac:dyDescent="0.35">
      <c r="A88" s="4"/>
    </row>
    <row r="89" spans="1:1" ht="15.75" customHeight="1" x14ac:dyDescent="0.35">
      <c r="A89" s="4"/>
    </row>
    <row r="90" spans="1:1" ht="15.75" customHeight="1" x14ac:dyDescent="0.35">
      <c r="A90" s="4"/>
    </row>
    <row r="91" spans="1:1" ht="15.75" customHeight="1" x14ac:dyDescent="0.35">
      <c r="A91" s="4"/>
    </row>
    <row r="92" spans="1:1" ht="15.75" customHeight="1" x14ac:dyDescent="0.35">
      <c r="A92" s="4"/>
    </row>
    <row r="93" spans="1:1" ht="15.75" customHeight="1" x14ac:dyDescent="0.35">
      <c r="A93" s="4"/>
    </row>
    <row r="94" spans="1:1" ht="15.75" customHeight="1" x14ac:dyDescent="0.35">
      <c r="A94" s="4"/>
    </row>
    <row r="95" spans="1:1" ht="15.75" customHeight="1" x14ac:dyDescent="0.35">
      <c r="A95" s="4"/>
    </row>
    <row r="96" spans="1:1" ht="15.75" customHeight="1" x14ac:dyDescent="0.35">
      <c r="A96" s="4"/>
    </row>
    <row r="97" spans="1:1" ht="15.75" customHeight="1" x14ac:dyDescent="0.35">
      <c r="A97" s="4"/>
    </row>
    <row r="98" spans="1:1" ht="15.75" customHeight="1" x14ac:dyDescent="0.35">
      <c r="A98" s="4"/>
    </row>
    <row r="99" spans="1:1" ht="15.75" customHeight="1" x14ac:dyDescent="0.35">
      <c r="A99" s="4"/>
    </row>
    <row r="100" spans="1:1" ht="15.75" customHeight="1" x14ac:dyDescent="0.35">
      <c r="A100" s="4"/>
    </row>
    <row r="101" spans="1:1" ht="15.75" customHeight="1" x14ac:dyDescent="0.35">
      <c r="A101" s="4"/>
    </row>
    <row r="102" spans="1:1" ht="15.75" customHeight="1" x14ac:dyDescent="0.35">
      <c r="A102" s="4"/>
    </row>
    <row r="103" spans="1:1" ht="15.75" customHeight="1" x14ac:dyDescent="0.35">
      <c r="A103" s="4"/>
    </row>
    <row r="104" spans="1:1" ht="15.75" customHeight="1" x14ac:dyDescent="0.35">
      <c r="A104" s="4"/>
    </row>
    <row r="105" spans="1:1" ht="15.75" customHeight="1" x14ac:dyDescent="0.35">
      <c r="A105" s="4"/>
    </row>
    <row r="106" spans="1:1" ht="15.75" customHeight="1" x14ac:dyDescent="0.35">
      <c r="A106" s="4"/>
    </row>
    <row r="107" spans="1:1" ht="15.75" customHeight="1" x14ac:dyDescent="0.35">
      <c r="A107" s="4"/>
    </row>
    <row r="108" spans="1:1" ht="15.75" customHeight="1" x14ac:dyDescent="0.35">
      <c r="A108" s="4"/>
    </row>
    <row r="109" spans="1:1" ht="15.75" customHeight="1" x14ac:dyDescent="0.35">
      <c r="A109" s="4"/>
    </row>
    <row r="110" spans="1:1" ht="15.75" customHeight="1" x14ac:dyDescent="0.35">
      <c r="A110" s="4"/>
    </row>
    <row r="111" spans="1:1" ht="15.75" customHeight="1" x14ac:dyDescent="0.35">
      <c r="A111" s="4"/>
    </row>
    <row r="112" spans="1:1" ht="15.75" customHeight="1" x14ac:dyDescent="0.35">
      <c r="A112" s="4"/>
    </row>
    <row r="113" spans="1:1" ht="15.75" customHeight="1" x14ac:dyDescent="0.35">
      <c r="A113" s="4"/>
    </row>
    <row r="114" spans="1:1" ht="15.75" customHeight="1" x14ac:dyDescent="0.35">
      <c r="A114" s="4"/>
    </row>
    <row r="115" spans="1:1" ht="15.75" customHeight="1" x14ac:dyDescent="0.35">
      <c r="A115" s="4"/>
    </row>
    <row r="116" spans="1:1" ht="15.75" customHeight="1" x14ac:dyDescent="0.35">
      <c r="A116" s="4"/>
    </row>
    <row r="117" spans="1:1" ht="15.75" customHeight="1" x14ac:dyDescent="0.35">
      <c r="A117" s="4"/>
    </row>
    <row r="118" spans="1:1" ht="15.75" customHeight="1" x14ac:dyDescent="0.35">
      <c r="A118" s="4"/>
    </row>
    <row r="119" spans="1:1" ht="15.75" customHeight="1" x14ac:dyDescent="0.35">
      <c r="A119" s="4"/>
    </row>
    <row r="120" spans="1:1" ht="15.75" customHeight="1" x14ac:dyDescent="0.35">
      <c r="A120" s="4"/>
    </row>
    <row r="121" spans="1:1" ht="15.75" customHeight="1" x14ac:dyDescent="0.35">
      <c r="A121" s="4"/>
    </row>
    <row r="122" spans="1:1" ht="15.75" customHeight="1" x14ac:dyDescent="0.35">
      <c r="A122" s="4"/>
    </row>
    <row r="123" spans="1:1" ht="15.75" customHeight="1" x14ac:dyDescent="0.35">
      <c r="A123" s="4"/>
    </row>
    <row r="124" spans="1:1" ht="15.75" customHeight="1" x14ac:dyDescent="0.35">
      <c r="A124" s="4"/>
    </row>
    <row r="125" spans="1:1" ht="15.75" customHeight="1" x14ac:dyDescent="0.35">
      <c r="A125" s="4"/>
    </row>
    <row r="126" spans="1:1" ht="15.75" customHeight="1" x14ac:dyDescent="0.35">
      <c r="A126" s="4"/>
    </row>
    <row r="127" spans="1:1" ht="15.75" customHeight="1" x14ac:dyDescent="0.35">
      <c r="A127" s="4"/>
    </row>
    <row r="128" spans="1:1" ht="15.75" customHeight="1" x14ac:dyDescent="0.35">
      <c r="A128" s="4"/>
    </row>
    <row r="129" spans="1:1" ht="15.75" customHeight="1" x14ac:dyDescent="0.35">
      <c r="A129" s="4"/>
    </row>
    <row r="130" spans="1:1" ht="15.75" customHeight="1" x14ac:dyDescent="0.35">
      <c r="A130" s="4"/>
    </row>
    <row r="131" spans="1:1" ht="15.75" customHeight="1" x14ac:dyDescent="0.35">
      <c r="A131" s="4"/>
    </row>
    <row r="132" spans="1:1" ht="15.75" customHeight="1" x14ac:dyDescent="0.35">
      <c r="A132" s="4"/>
    </row>
    <row r="133" spans="1:1" ht="15.75" customHeight="1" x14ac:dyDescent="0.35">
      <c r="A133" s="4"/>
    </row>
    <row r="134" spans="1:1" ht="15.75" customHeight="1" x14ac:dyDescent="0.35">
      <c r="A134" s="4"/>
    </row>
    <row r="135" spans="1:1" ht="15.75" customHeight="1" x14ac:dyDescent="0.35">
      <c r="A135" s="4"/>
    </row>
    <row r="136" spans="1:1" ht="15.75" customHeight="1" x14ac:dyDescent="0.35">
      <c r="A136" s="4"/>
    </row>
    <row r="137" spans="1:1" ht="15.75" customHeight="1" x14ac:dyDescent="0.35">
      <c r="A137" s="4"/>
    </row>
    <row r="138" spans="1:1" ht="15.75" customHeight="1" x14ac:dyDescent="0.35">
      <c r="A138" s="4"/>
    </row>
    <row r="139" spans="1:1" ht="15.75" customHeight="1" x14ac:dyDescent="0.35">
      <c r="A139" s="4"/>
    </row>
    <row r="140" spans="1:1" ht="15.75" customHeight="1" x14ac:dyDescent="0.35">
      <c r="A140" s="4"/>
    </row>
    <row r="141" spans="1:1" ht="15.75" customHeight="1" x14ac:dyDescent="0.35">
      <c r="A141" s="4"/>
    </row>
    <row r="142" spans="1:1" ht="15.75" customHeight="1" x14ac:dyDescent="0.35">
      <c r="A142" s="4"/>
    </row>
    <row r="143" spans="1:1" ht="15.75" customHeight="1" x14ac:dyDescent="0.35">
      <c r="A143" s="4"/>
    </row>
    <row r="144" spans="1:1" ht="15.75" customHeight="1" x14ac:dyDescent="0.35">
      <c r="A144" s="4"/>
    </row>
    <row r="145" spans="1:1" ht="15.75" customHeight="1" x14ac:dyDescent="0.35">
      <c r="A145" s="4"/>
    </row>
    <row r="146" spans="1:1" ht="15.75" customHeight="1" x14ac:dyDescent="0.35">
      <c r="A146" s="4"/>
    </row>
    <row r="147" spans="1:1" ht="15.75" customHeight="1" x14ac:dyDescent="0.35">
      <c r="A147" s="4"/>
    </row>
    <row r="148" spans="1:1" ht="15.75" customHeight="1" x14ac:dyDescent="0.35">
      <c r="A148" s="4"/>
    </row>
    <row r="149" spans="1:1" ht="15.75" customHeight="1" x14ac:dyDescent="0.35">
      <c r="A149" s="4"/>
    </row>
    <row r="150" spans="1:1" ht="15.75" customHeight="1" x14ac:dyDescent="0.35">
      <c r="A150" s="4"/>
    </row>
    <row r="151" spans="1:1" ht="15.75" customHeight="1" x14ac:dyDescent="0.35">
      <c r="A151" s="4"/>
    </row>
    <row r="152" spans="1:1" ht="15.75" customHeight="1" x14ac:dyDescent="0.35">
      <c r="A152" s="4"/>
    </row>
    <row r="153" spans="1:1" ht="15.75" customHeight="1" x14ac:dyDescent="0.35">
      <c r="A153" s="4"/>
    </row>
    <row r="154" spans="1:1" ht="15.75" customHeight="1" x14ac:dyDescent="0.35">
      <c r="A154" s="4"/>
    </row>
    <row r="155" spans="1:1" ht="15.75" customHeight="1" x14ac:dyDescent="0.35">
      <c r="A155" s="4"/>
    </row>
    <row r="156" spans="1:1" ht="15.75" customHeight="1" x14ac:dyDescent="0.35">
      <c r="A156" s="4"/>
    </row>
    <row r="157" spans="1:1" ht="15.75" customHeight="1" x14ac:dyDescent="0.35">
      <c r="A157" s="4"/>
    </row>
    <row r="158" spans="1:1" ht="15.75" customHeight="1" x14ac:dyDescent="0.35">
      <c r="A158" s="4"/>
    </row>
    <row r="159" spans="1:1" ht="15.75" customHeight="1" x14ac:dyDescent="0.35">
      <c r="A159" s="4"/>
    </row>
    <row r="160" spans="1:1" ht="15.75" customHeight="1" x14ac:dyDescent="0.35">
      <c r="A160" s="4"/>
    </row>
    <row r="161" spans="1:1" ht="15.75" customHeight="1" x14ac:dyDescent="0.35">
      <c r="A161" s="4"/>
    </row>
    <row r="162" spans="1:1" ht="15.75" customHeight="1" x14ac:dyDescent="0.35">
      <c r="A162" s="4"/>
    </row>
    <row r="163" spans="1:1" ht="15.75" customHeight="1" x14ac:dyDescent="0.35">
      <c r="A163" s="4"/>
    </row>
    <row r="164" spans="1:1" ht="15.75" customHeight="1" x14ac:dyDescent="0.35">
      <c r="A164" s="4"/>
    </row>
    <row r="165" spans="1:1" ht="15.75" customHeight="1" x14ac:dyDescent="0.35">
      <c r="A165" s="4"/>
    </row>
    <row r="166" spans="1:1" ht="15.75" customHeight="1" x14ac:dyDescent="0.35">
      <c r="A166" s="4"/>
    </row>
    <row r="167" spans="1:1" ht="15.75" customHeight="1" x14ac:dyDescent="0.35">
      <c r="A167" s="4"/>
    </row>
    <row r="168" spans="1:1" ht="15.75" customHeight="1" x14ac:dyDescent="0.35">
      <c r="A168" s="4"/>
    </row>
    <row r="169" spans="1:1" ht="15.75" customHeight="1" x14ac:dyDescent="0.35">
      <c r="A169" s="4"/>
    </row>
    <row r="170" spans="1:1" ht="15.75" customHeight="1" x14ac:dyDescent="0.35">
      <c r="A170" s="4"/>
    </row>
    <row r="171" spans="1:1" ht="15.75" customHeight="1" x14ac:dyDescent="0.35">
      <c r="A171" s="4"/>
    </row>
    <row r="172" spans="1:1" ht="15.75" customHeight="1" x14ac:dyDescent="0.35">
      <c r="A172" s="4"/>
    </row>
    <row r="173" spans="1:1" ht="15.75" customHeight="1" x14ac:dyDescent="0.35">
      <c r="A173" s="4"/>
    </row>
    <row r="174" spans="1:1" ht="15.75" customHeight="1" x14ac:dyDescent="0.35">
      <c r="A174" s="4"/>
    </row>
    <row r="175" spans="1:1" ht="15.75" customHeight="1" x14ac:dyDescent="0.35">
      <c r="A175" s="4"/>
    </row>
    <row r="176" spans="1:1" ht="15.75" customHeight="1" x14ac:dyDescent="0.35">
      <c r="A176" s="4"/>
    </row>
    <row r="177" spans="1:1" ht="15.75" customHeight="1" x14ac:dyDescent="0.35">
      <c r="A177" s="4"/>
    </row>
    <row r="178" spans="1:1" ht="15.75" customHeight="1" x14ac:dyDescent="0.35">
      <c r="A178" s="4"/>
    </row>
    <row r="179" spans="1:1" ht="15.75" customHeight="1" x14ac:dyDescent="0.35">
      <c r="A179" s="4"/>
    </row>
    <row r="180" spans="1:1" ht="15.75" customHeight="1" x14ac:dyDescent="0.35">
      <c r="A180" s="4"/>
    </row>
    <row r="181" spans="1:1" ht="15.75" customHeight="1" x14ac:dyDescent="0.35">
      <c r="A181" s="4"/>
    </row>
    <row r="182" spans="1:1" ht="15.75" customHeight="1" x14ac:dyDescent="0.35">
      <c r="A182" s="4"/>
    </row>
    <row r="183" spans="1:1" ht="15.75" customHeight="1" x14ac:dyDescent="0.35">
      <c r="A183" s="4"/>
    </row>
    <row r="184" spans="1:1" ht="15.75" customHeight="1" x14ac:dyDescent="0.35">
      <c r="A184" s="4"/>
    </row>
    <row r="185" spans="1:1" ht="15.75" customHeight="1" x14ac:dyDescent="0.35">
      <c r="A185" s="4"/>
    </row>
    <row r="186" spans="1:1" ht="15.75" customHeight="1" x14ac:dyDescent="0.35">
      <c r="A186" s="4"/>
    </row>
    <row r="187" spans="1:1" ht="15.75" customHeight="1" x14ac:dyDescent="0.35">
      <c r="A187" s="4"/>
    </row>
    <row r="188" spans="1:1" ht="15.75" customHeight="1" x14ac:dyDescent="0.35">
      <c r="A188" s="4"/>
    </row>
    <row r="189" spans="1:1" ht="15.75" customHeight="1" x14ac:dyDescent="0.35">
      <c r="A189" s="4"/>
    </row>
    <row r="190" spans="1:1" ht="15.75" customHeight="1" x14ac:dyDescent="0.35">
      <c r="A190" s="4"/>
    </row>
    <row r="191" spans="1:1" ht="15.75" customHeight="1" x14ac:dyDescent="0.35">
      <c r="A191" s="4"/>
    </row>
    <row r="192" spans="1:1" ht="15.75" customHeight="1" x14ac:dyDescent="0.35">
      <c r="A192" s="4"/>
    </row>
    <row r="193" spans="1:1" ht="15.75" customHeight="1" x14ac:dyDescent="0.35">
      <c r="A193" s="4"/>
    </row>
    <row r="194" spans="1:1" ht="15.75" customHeight="1" x14ac:dyDescent="0.35">
      <c r="A194" s="4"/>
    </row>
    <row r="195" spans="1:1" ht="15.75" customHeight="1" x14ac:dyDescent="0.35">
      <c r="A195" s="4"/>
    </row>
    <row r="196" spans="1:1" ht="15.75" customHeight="1" x14ac:dyDescent="0.35">
      <c r="A196" s="4"/>
    </row>
    <row r="197" spans="1:1" ht="15.75" customHeight="1" x14ac:dyDescent="0.35">
      <c r="A197" s="4"/>
    </row>
    <row r="198" spans="1:1" ht="15.75" customHeight="1" x14ac:dyDescent="0.35">
      <c r="A198" s="4"/>
    </row>
    <row r="199" spans="1:1" ht="15.75" customHeight="1" x14ac:dyDescent="0.35">
      <c r="A199" s="4"/>
    </row>
    <row r="200" spans="1:1" ht="15.75" customHeight="1" x14ac:dyDescent="0.35">
      <c r="A200" s="4"/>
    </row>
    <row r="201" spans="1:1" ht="15.75" customHeight="1" x14ac:dyDescent="0.35">
      <c r="A201" s="4"/>
    </row>
    <row r="202" spans="1:1" ht="15.75" customHeight="1" x14ac:dyDescent="0.35">
      <c r="A202" s="4"/>
    </row>
    <row r="203" spans="1:1" ht="15.75" customHeight="1" x14ac:dyDescent="0.35">
      <c r="A203" s="4"/>
    </row>
    <row r="204" spans="1:1" ht="15.75" customHeight="1" x14ac:dyDescent="0.35">
      <c r="A204" s="4"/>
    </row>
    <row r="205" spans="1:1" ht="15.75" customHeight="1" x14ac:dyDescent="0.35">
      <c r="A205" s="4"/>
    </row>
    <row r="206" spans="1:1" ht="15.75" customHeight="1" x14ac:dyDescent="0.35">
      <c r="A206" s="4"/>
    </row>
    <row r="207" spans="1:1" ht="15.75" customHeight="1" x14ac:dyDescent="0.35">
      <c r="A207" s="4"/>
    </row>
    <row r="208" spans="1:1" ht="15.75" customHeight="1" x14ac:dyDescent="0.35">
      <c r="A208" s="4"/>
    </row>
    <row r="209" spans="1:1" ht="15.75" customHeight="1" x14ac:dyDescent="0.35">
      <c r="A209" s="4"/>
    </row>
    <row r="210" spans="1:1" ht="15.75" customHeight="1" x14ac:dyDescent="0.35">
      <c r="A210" s="4"/>
    </row>
    <row r="211" spans="1:1" ht="15.75" customHeight="1" x14ac:dyDescent="0.35">
      <c r="A211" s="4"/>
    </row>
    <row r="212" spans="1:1" ht="15.75" customHeight="1" x14ac:dyDescent="0.35">
      <c r="A212" s="4"/>
    </row>
    <row r="213" spans="1:1" ht="15.75" customHeight="1" x14ac:dyDescent="0.35">
      <c r="A213" s="4"/>
    </row>
    <row r="214" spans="1:1" ht="15.75" customHeight="1" x14ac:dyDescent="0.35">
      <c r="A214" s="4"/>
    </row>
    <row r="215" spans="1:1" ht="15.75" customHeight="1" x14ac:dyDescent="0.35">
      <c r="A215" s="4"/>
    </row>
    <row r="216" spans="1:1" ht="15.75" customHeight="1" x14ac:dyDescent="0.35">
      <c r="A216" s="4"/>
    </row>
    <row r="217" spans="1:1" ht="15.75" customHeight="1" x14ac:dyDescent="0.35">
      <c r="A217" s="4"/>
    </row>
    <row r="218" spans="1:1" ht="15.75" customHeight="1" x14ac:dyDescent="0.35">
      <c r="A218" s="4"/>
    </row>
    <row r="219" spans="1:1" ht="15.75" customHeight="1" x14ac:dyDescent="0.35">
      <c r="A219" s="4"/>
    </row>
    <row r="220" spans="1:1" ht="15.75" customHeight="1" x14ac:dyDescent="0.35">
      <c r="A220" s="4"/>
    </row>
    <row r="221" spans="1:1" ht="15.75" customHeight="1" x14ac:dyDescent="0.35">
      <c r="A221" s="4"/>
    </row>
    <row r="222" spans="1:1" ht="15.75" customHeight="1" x14ac:dyDescent="0.35">
      <c r="A222" s="4"/>
    </row>
    <row r="223" spans="1:1" ht="15.75" customHeight="1" x14ac:dyDescent="0.35">
      <c r="A223" s="4"/>
    </row>
    <row r="224" spans="1:1" ht="15.75" customHeight="1" x14ac:dyDescent="0.35">
      <c r="A224" s="4"/>
    </row>
    <row r="225" spans="1:1" ht="15.75" customHeight="1" x14ac:dyDescent="0.35">
      <c r="A225" s="4"/>
    </row>
    <row r="226" spans="1:1" ht="15.75" customHeight="1" x14ac:dyDescent="0.35">
      <c r="A226" s="4"/>
    </row>
    <row r="227" spans="1:1" ht="15.75" customHeight="1" x14ac:dyDescent="0.35">
      <c r="A227" s="4"/>
    </row>
    <row r="228" spans="1:1" ht="15.75" customHeight="1" x14ac:dyDescent="0.35">
      <c r="A228" s="4"/>
    </row>
    <row r="229" spans="1:1" ht="15.75" customHeight="1" x14ac:dyDescent="0.35">
      <c r="A229" s="4"/>
    </row>
    <row r="230" spans="1:1" ht="15.75" customHeight="1" x14ac:dyDescent="0.35">
      <c r="A230" s="4"/>
    </row>
    <row r="231" spans="1:1" ht="15.75" customHeight="1" x14ac:dyDescent="0.35">
      <c r="A231" s="4"/>
    </row>
    <row r="232" spans="1:1" ht="15.75" customHeight="1" x14ac:dyDescent="0.35">
      <c r="A232" s="4"/>
    </row>
    <row r="233" spans="1:1" ht="15.75" customHeight="1" x14ac:dyDescent="0.35">
      <c r="A233" s="4"/>
    </row>
    <row r="234" spans="1:1" ht="15.75" customHeight="1" x14ac:dyDescent="0.35">
      <c r="A234" s="4"/>
    </row>
    <row r="235" spans="1:1" ht="15.75" customHeight="1" x14ac:dyDescent="0.35">
      <c r="A235" s="4"/>
    </row>
    <row r="236" spans="1:1" ht="15.75" customHeight="1" x14ac:dyDescent="0.35">
      <c r="A236" s="4"/>
    </row>
    <row r="237" spans="1:1" ht="15.75" customHeight="1" x14ac:dyDescent="0.35">
      <c r="A237" s="4"/>
    </row>
    <row r="238" spans="1:1" ht="15.75" customHeight="1" x14ac:dyDescent="0.35">
      <c r="A238" s="4"/>
    </row>
    <row r="239" spans="1:1" ht="15.75" customHeight="1" x14ac:dyDescent="0.35">
      <c r="A239" s="4"/>
    </row>
    <row r="240" spans="1:1" ht="15.75" customHeight="1" x14ac:dyDescent="0.35">
      <c r="A240" s="4"/>
    </row>
    <row r="241" spans="1:1" ht="15.75" customHeight="1" x14ac:dyDescent="0.35">
      <c r="A241" s="4"/>
    </row>
    <row r="242" spans="1:1" ht="15.75" customHeight="1" x14ac:dyDescent="0.35">
      <c r="A242" s="4"/>
    </row>
    <row r="243" spans="1:1" ht="15.75" customHeight="1" x14ac:dyDescent="0.35">
      <c r="A243" s="4"/>
    </row>
    <row r="244" spans="1:1" ht="15.75" customHeight="1" x14ac:dyDescent="0.35">
      <c r="A244" s="4"/>
    </row>
    <row r="245" spans="1:1" ht="15.75" customHeight="1" x14ac:dyDescent="0.35">
      <c r="A245" s="4"/>
    </row>
    <row r="246" spans="1:1" ht="15.75" customHeight="1" x14ac:dyDescent="0.35">
      <c r="A246" s="4"/>
    </row>
    <row r="247" spans="1:1" ht="15.75" customHeight="1" x14ac:dyDescent="0.35">
      <c r="A247" s="4"/>
    </row>
    <row r="248" spans="1:1" ht="15.75" customHeight="1" x14ac:dyDescent="0.35">
      <c r="A248" s="4"/>
    </row>
    <row r="249" spans="1:1" ht="15.75" customHeight="1" x14ac:dyDescent="0.35">
      <c r="A249" s="4"/>
    </row>
    <row r="250" spans="1:1" ht="15.75" customHeight="1" x14ac:dyDescent="0.35">
      <c r="A250" s="4"/>
    </row>
    <row r="251" spans="1:1" ht="15.75" customHeight="1" x14ac:dyDescent="0.35">
      <c r="A251" s="4"/>
    </row>
    <row r="252" spans="1:1" ht="15.75" customHeight="1" x14ac:dyDescent="0.35">
      <c r="A252" s="4"/>
    </row>
    <row r="253" spans="1:1" ht="15.75" customHeight="1" x14ac:dyDescent="0.35">
      <c r="A253" s="4"/>
    </row>
    <row r="254" spans="1:1" ht="15.75" customHeight="1" x14ac:dyDescent="0.35">
      <c r="A254" s="4"/>
    </row>
    <row r="255" spans="1:1" ht="15.75" customHeight="1" x14ac:dyDescent="0.35">
      <c r="A255" s="4"/>
    </row>
    <row r="256" spans="1:1" ht="15.75" customHeight="1" x14ac:dyDescent="0.35">
      <c r="A256" s="4"/>
    </row>
    <row r="257" spans="1:1" ht="15.75" customHeight="1" x14ac:dyDescent="0.35">
      <c r="A257" s="4"/>
    </row>
    <row r="258" spans="1:1" ht="15.75" customHeight="1" x14ac:dyDescent="0.35">
      <c r="A258" s="4"/>
    </row>
    <row r="259" spans="1:1" ht="15.75" customHeight="1" x14ac:dyDescent="0.35">
      <c r="A259" s="4"/>
    </row>
    <row r="260" spans="1:1" ht="15.75" customHeight="1" x14ac:dyDescent="0.35">
      <c r="A260" s="4"/>
    </row>
    <row r="261" spans="1:1" ht="15.75" customHeight="1" x14ac:dyDescent="0.35">
      <c r="A261" s="4"/>
    </row>
    <row r="262" spans="1:1" ht="15.75" customHeight="1" x14ac:dyDescent="0.35">
      <c r="A262" s="4"/>
    </row>
    <row r="263" spans="1:1" ht="15.75" customHeight="1" x14ac:dyDescent="0.35">
      <c r="A263" s="4"/>
    </row>
    <row r="264" spans="1:1" ht="15.75" customHeight="1" x14ac:dyDescent="0.35">
      <c r="A264" s="4"/>
    </row>
    <row r="265" spans="1:1" ht="15.75" customHeight="1" x14ac:dyDescent="0.35">
      <c r="A265" s="4"/>
    </row>
    <row r="266" spans="1:1" ht="15.75" customHeight="1" x14ac:dyDescent="0.35">
      <c r="A266" s="4"/>
    </row>
    <row r="267" spans="1:1" ht="15.75" customHeight="1" x14ac:dyDescent="0.35">
      <c r="A267" s="4"/>
    </row>
    <row r="268" spans="1:1" ht="15.75" customHeight="1" x14ac:dyDescent="0.35">
      <c r="A268" s="4"/>
    </row>
    <row r="269" spans="1:1" ht="15.75" customHeight="1" x14ac:dyDescent="0.35">
      <c r="A269" s="4"/>
    </row>
    <row r="270" spans="1:1" ht="15.75" customHeight="1" x14ac:dyDescent="0.35">
      <c r="A270" s="4"/>
    </row>
    <row r="271" spans="1:1" ht="15.75" customHeight="1" x14ac:dyDescent="0.35">
      <c r="A271" s="4"/>
    </row>
    <row r="272" spans="1:1" ht="15.75" customHeight="1" x14ac:dyDescent="0.35">
      <c r="A272" s="4"/>
    </row>
    <row r="273" spans="1:1" ht="15.75" customHeight="1" x14ac:dyDescent="0.35">
      <c r="A273" s="4"/>
    </row>
    <row r="274" spans="1:1" ht="15.75" customHeight="1" x14ac:dyDescent="0.35">
      <c r="A274" s="4"/>
    </row>
    <row r="275" spans="1:1" ht="15.75" customHeight="1" x14ac:dyDescent="0.35">
      <c r="A275" s="4"/>
    </row>
    <row r="276" spans="1:1" ht="15.75" customHeight="1" x14ac:dyDescent="0.35">
      <c r="A276" s="4"/>
    </row>
    <row r="277" spans="1:1" ht="15.75" customHeight="1" x14ac:dyDescent="0.35">
      <c r="A277" s="4"/>
    </row>
    <row r="278" spans="1:1" ht="15.75" customHeight="1" x14ac:dyDescent="0.35">
      <c r="A278" s="4"/>
    </row>
    <row r="279" spans="1:1" ht="15.75" customHeight="1" x14ac:dyDescent="0.35">
      <c r="A279" s="4"/>
    </row>
    <row r="280" spans="1:1" ht="15.75" customHeight="1" x14ac:dyDescent="0.35">
      <c r="A280" s="4"/>
    </row>
    <row r="281" spans="1:1" ht="15.75" customHeight="1" x14ac:dyDescent="0.35">
      <c r="A281" s="4"/>
    </row>
    <row r="282" spans="1:1" ht="15.75" customHeight="1" x14ac:dyDescent="0.35">
      <c r="A282" s="4"/>
    </row>
    <row r="283" spans="1:1" ht="15.75" customHeight="1" x14ac:dyDescent="0.35">
      <c r="A283" s="4"/>
    </row>
    <row r="284" spans="1:1" ht="15.75" customHeight="1" x14ac:dyDescent="0.35">
      <c r="A284" s="4"/>
    </row>
    <row r="285" spans="1:1" ht="15.75" customHeight="1" x14ac:dyDescent="0.35">
      <c r="A285" s="4"/>
    </row>
    <row r="286" spans="1:1" ht="15.75" customHeight="1" x14ac:dyDescent="0.35">
      <c r="A286" s="4"/>
    </row>
    <row r="287" spans="1:1" ht="15.75" customHeight="1" x14ac:dyDescent="0.35">
      <c r="A287" s="4"/>
    </row>
    <row r="288" spans="1:1" ht="15.75" customHeight="1" x14ac:dyDescent="0.35">
      <c r="A288" s="4"/>
    </row>
    <row r="289" spans="1:1" ht="15.75" customHeight="1" x14ac:dyDescent="0.35">
      <c r="A289" s="4"/>
    </row>
    <row r="290" spans="1:1" ht="15.75" customHeight="1" x14ac:dyDescent="0.35">
      <c r="A290" s="4"/>
    </row>
    <row r="291" spans="1:1" ht="15.75" customHeight="1" x14ac:dyDescent="0.35">
      <c r="A291" s="4"/>
    </row>
    <row r="292" spans="1:1" ht="15.75" customHeight="1" x14ac:dyDescent="0.35">
      <c r="A292" s="4"/>
    </row>
    <row r="293" spans="1:1" ht="15.75" customHeight="1" x14ac:dyDescent="0.35">
      <c r="A293" s="4"/>
    </row>
    <row r="294" spans="1:1" ht="15.75" customHeight="1" x14ac:dyDescent="0.35">
      <c r="A294" s="4"/>
    </row>
    <row r="295" spans="1:1" ht="15.75" customHeight="1" x14ac:dyDescent="0.35">
      <c r="A295" s="4"/>
    </row>
    <row r="296" spans="1:1" ht="15.75" customHeight="1" x14ac:dyDescent="0.35">
      <c r="A296" s="4"/>
    </row>
    <row r="297" spans="1:1" ht="15.75" customHeight="1" x14ac:dyDescent="0.35">
      <c r="A297" s="4"/>
    </row>
    <row r="298" spans="1:1" ht="15.75" customHeight="1" x14ac:dyDescent="0.35">
      <c r="A298" s="4"/>
    </row>
    <row r="299" spans="1:1" ht="15.75" customHeight="1" x14ac:dyDescent="0.35">
      <c r="A299" s="4"/>
    </row>
    <row r="300" spans="1:1" ht="15.75" customHeight="1" x14ac:dyDescent="0.35">
      <c r="A300" s="4"/>
    </row>
    <row r="301" spans="1:1" ht="15.75" customHeight="1" x14ac:dyDescent="0.35">
      <c r="A301" s="4"/>
    </row>
    <row r="302" spans="1:1" ht="15.75" customHeight="1" x14ac:dyDescent="0.35">
      <c r="A302" s="4"/>
    </row>
    <row r="303" spans="1:1" ht="15.75" customHeight="1" x14ac:dyDescent="0.35">
      <c r="A303" s="4"/>
    </row>
    <row r="304" spans="1:1" ht="15.75" customHeight="1" x14ac:dyDescent="0.35">
      <c r="A304" s="4"/>
    </row>
    <row r="305" spans="1:1" ht="15.75" customHeight="1" x14ac:dyDescent="0.35">
      <c r="A305" s="4"/>
    </row>
    <row r="306" spans="1:1" ht="15.75" customHeight="1" x14ac:dyDescent="0.35">
      <c r="A306" s="4"/>
    </row>
    <row r="307" spans="1:1" ht="15.75" customHeight="1" x14ac:dyDescent="0.35">
      <c r="A307" s="4"/>
    </row>
    <row r="308" spans="1:1" ht="15.75" customHeight="1" x14ac:dyDescent="0.35">
      <c r="A308" s="4"/>
    </row>
    <row r="309" spans="1:1" ht="15.75" customHeight="1" x14ac:dyDescent="0.35">
      <c r="A309" s="4"/>
    </row>
    <row r="310" spans="1:1" ht="15.75" customHeight="1" x14ac:dyDescent="0.35">
      <c r="A310" s="4"/>
    </row>
    <row r="311" spans="1:1" ht="15.75" customHeight="1" x14ac:dyDescent="0.35">
      <c r="A311" s="4"/>
    </row>
    <row r="312" spans="1:1" ht="15.75" customHeight="1" x14ac:dyDescent="0.35">
      <c r="A312" s="4"/>
    </row>
    <row r="313" spans="1:1" ht="15.75" customHeight="1" x14ac:dyDescent="0.35">
      <c r="A313" s="4"/>
    </row>
    <row r="314" spans="1:1" ht="15.75" customHeight="1" x14ac:dyDescent="0.35">
      <c r="A314" s="4"/>
    </row>
    <row r="315" spans="1:1" ht="15.75" customHeight="1" x14ac:dyDescent="0.35">
      <c r="A315" s="4"/>
    </row>
    <row r="316" spans="1:1" ht="15.75" customHeight="1" x14ac:dyDescent="0.35">
      <c r="A316" s="4"/>
    </row>
    <row r="317" spans="1:1" ht="15.75" customHeight="1" x14ac:dyDescent="0.35">
      <c r="A317" s="4"/>
    </row>
    <row r="318" spans="1:1" ht="15.75" customHeight="1" x14ac:dyDescent="0.35">
      <c r="A318" s="4"/>
    </row>
    <row r="319" spans="1:1" ht="15.75" customHeight="1" x14ac:dyDescent="0.35">
      <c r="A319" s="4"/>
    </row>
    <row r="320" spans="1:1" ht="15.75" customHeight="1" x14ac:dyDescent="0.35">
      <c r="A320" s="4"/>
    </row>
    <row r="321" spans="1:1" ht="15.75" customHeight="1" x14ac:dyDescent="0.35">
      <c r="A321" s="4"/>
    </row>
    <row r="322" spans="1:1" ht="15.75" customHeight="1" x14ac:dyDescent="0.35">
      <c r="A322" s="4"/>
    </row>
    <row r="323" spans="1:1" ht="15.75" customHeight="1" x14ac:dyDescent="0.35">
      <c r="A323" s="4"/>
    </row>
    <row r="324" spans="1:1" ht="15.75" customHeight="1" x14ac:dyDescent="0.35">
      <c r="A324" s="4"/>
    </row>
    <row r="325" spans="1:1" ht="15.75" customHeight="1" x14ac:dyDescent="0.35">
      <c r="A325" s="4"/>
    </row>
    <row r="326" spans="1:1" ht="15.75" customHeight="1" x14ac:dyDescent="0.35">
      <c r="A326" s="4"/>
    </row>
    <row r="327" spans="1:1" ht="15.75" customHeight="1" x14ac:dyDescent="0.35">
      <c r="A327" s="4"/>
    </row>
    <row r="328" spans="1:1" ht="15.75" customHeight="1" x14ac:dyDescent="0.35">
      <c r="A328" s="4"/>
    </row>
    <row r="329" spans="1:1" ht="15.75" customHeight="1" x14ac:dyDescent="0.35">
      <c r="A329" s="4"/>
    </row>
    <row r="330" spans="1:1" ht="15.75" customHeight="1" x14ac:dyDescent="0.35">
      <c r="A330" s="4"/>
    </row>
    <row r="331" spans="1:1" ht="15.75" customHeight="1" x14ac:dyDescent="0.35">
      <c r="A331" s="4"/>
    </row>
    <row r="332" spans="1:1" ht="15.75" customHeight="1" x14ac:dyDescent="0.35">
      <c r="A332" s="4"/>
    </row>
    <row r="333" spans="1:1" ht="15.75" customHeight="1" x14ac:dyDescent="0.35">
      <c r="A333" s="4"/>
    </row>
    <row r="334" spans="1:1" ht="15.75" customHeight="1" x14ac:dyDescent="0.35">
      <c r="A334" s="4"/>
    </row>
    <row r="335" spans="1:1" ht="15.75" customHeight="1" x14ac:dyDescent="0.35">
      <c r="A335" s="4"/>
    </row>
    <row r="336" spans="1:1" ht="15.75" customHeight="1" x14ac:dyDescent="0.35">
      <c r="A336" s="4"/>
    </row>
    <row r="337" spans="1:1" ht="15.75" customHeight="1" x14ac:dyDescent="0.35">
      <c r="A337" s="4"/>
    </row>
    <row r="338" spans="1:1" ht="15.75" customHeight="1" x14ac:dyDescent="0.35">
      <c r="A338" s="4"/>
    </row>
    <row r="339" spans="1:1" ht="15.75" customHeight="1" x14ac:dyDescent="0.35">
      <c r="A339" s="4"/>
    </row>
    <row r="340" spans="1:1" ht="15.75" customHeight="1" x14ac:dyDescent="0.35">
      <c r="A340" s="4"/>
    </row>
    <row r="341" spans="1:1" ht="15.75" customHeight="1" x14ac:dyDescent="0.35">
      <c r="A341" s="4"/>
    </row>
    <row r="342" spans="1:1" ht="15.75" customHeight="1" x14ac:dyDescent="0.35">
      <c r="A342" s="4"/>
    </row>
    <row r="343" spans="1:1" ht="15.75" customHeight="1" x14ac:dyDescent="0.35">
      <c r="A343" s="4"/>
    </row>
    <row r="344" spans="1:1" ht="15.75" customHeight="1" x14ac:dyDescent="0.35">
      <c r="A344" s="4"/>
    </row>
    <row r="345" spans="1:1" ht="15.75" customHeight="1" x14ac:dyDescent="0.35">
      <c r="A345" s="4"/>
    </row>
    <row r="346" spans="1:1" ht="15.75" customHeight="1" x14ac:dyDescent="0.35">
      <c r="A346" s="4"/>
    </row>
    <row r="347" spans="1:1" ht="15.75" customHeight="1" x14ac:dyDescent="0.35">
      <c r="A347" s="4"/>
    </row>
    <row r="348" spans="1:1" ht="15.75" customHeight="1" x14ac:dyDescent="0.35">
      <c r="A348" s="4"/>
    </row>
    <row r="349" spans="1:1" ht="15.75" customHeight="1" x14ac:dyDescent="0.35">
      <c r="A349" s="4"/>
    </row>
    <row r="350" spans="1:1" ht="15.75" customHeight="1" x14ac:dyDescent="0.35">
      <c r="A350" s="4"/>
    </row>
    <row r="351" spans="1:1" ht="15.75" customHeight="1" x14ac:dyDescent="0.35">
      <c r="A351" s="4"/>
    </row>
    <row r="352" spans="1:1" ht="15.75" customHeight="1" x14ac:dyDescent="0.35">
      <c r="A352" s="4"/>
    </row>
    <row r="353" spans="1:1" ht="15.75" customHeight="1" x14ac:dyDescent="0.35">
      <c r="A353" s="4"/>
    </row>
    <row r="354" spans="1:1" ht="15.75" customHeight="1" x14ac:dyDescent="0.35">
      <c r="A354" s="4"/>
    </row>
    <row r="355" spans="1:1" ht="15.75" customHeight="1" x14ac:dyDescent="0.35">
      <c r="A355" s="4"/>
    </row>
    <row r="356" spans="1:1" ht="15.75" customHeight="1" x14ac:dyDescent="0.35">
      <c r="A356" s="4"/>
    </row>
    <row r="357" spans="1:1" ht="15.75" customHeight="1" x14ac:dyDescent="0.35">
      <c r="A357" s="4"/>
    </row>
    <row r="358" spans="1:1" ht="15.75" customHeight="1" x14ac:dyDescent="0.35">
      <c r="A358" s="4"/>
    </row>
    <row r="359" spans="1:1" ht="15.75" customHeight="1" x14ac:dyDescent="0.35">
      <c r="A359" s="4"/>
    </row>
    <row r="360" spans="1:1" ht="15.75" customHeight="1" x14ac:dyDescent="0.35">
      <c r="A360" s="4"/>
    </row>
    <row r="361" spans="1:1" ht="15.75" customHeight="1" x14ac:dyDescent="0.35">
      <c r="A361" s="4"/>
    </row>
    <row r="362" spans="1:1" ht="15.75" customHeight="1" x14ac:dyDescent="0.35">
      <c r="A362" s="4"/>
    </row>
    <row r="363" spans="1:1" ht="15.75" customHeight="1" x14ac:dyDescent="0.35">
      <c r="A363" s="4"/>
    </row>
    <row r="364" spans="1:1" ht="15.75" customHeight="1" x14ac:dyDescent="0.35">
      <c r="A364" s="4"/>
    </row>
    <row r="365" spans="1:1" ht="15.75" customHeight="1" x14ac:dyDescent="0.35">
      <c r="A365" s="4"/>
    </row>
    <row r="366" spans="1:1" ht="15.75" customHeight="1" x14ac:dyDescent="0.35">
      <c r="A366" s="4"/>
    </row>
    <row r="367" spans="1:1" ht="15.75" customHeight="1" x14ac:dyDescent="0.35">
      <c r="A367" s="4"/>
    </row>
    <row r="368" spans="1:1" ht="15.75" customHeight="1" x14ac:dyDescent="0.35">
      <c r="A368" s="4"/>
    </row>
    <row r="369" spans="1:1" ht="15.75" customHeight="1" x14ac:dyDescent="0.35">
      <c r="A369" s="4"/>
    </row>
    <row r="370" spans="1:1" ht="15.75" customHeight="1" x14ac:dyDescent="0.35">
      <c r="A370" s="4"/>
    </row>
    <row r="371" spans="1:1" ht="15.75" customHeight="1" x14ac:dyDescent="0.35">
      <c r="A371" s="4"/>
    </row>
    <row r="372" spans="1:1" ht="15.75" customHeight="1" x14ac:dyDescent="0.35">
      <c r="A372" s="4"/>
    </row>
    <row r="373" spans="1:1" ht="15.75" customHeight="1" x14ac:dyDescent="0.35">
      <c r="A373" s="4"/>
    </row>
    <row r="374" spans="1:1" ht="15.75" customHeight="1" x14ac:dyDescent="0.35">
      <c r="A374" s="4"/>
    </row>
    <row r="375" spans="1:1" ht="15.75" customHeight="1" x14ac:dyDescent="0.35">
      <c r="A375" s="4"/>
    </row>
    <row r="376" spans="1:1" ht="15.75" customHeight="1" x14ac:dyDescent="0.35">
      <c r="A376" s="4"/>
    </row>
    <row r="377" spans="1:1" ht="15.75" customHeight="1" x14ac:dyDescent="0.35">
      <c r="A377" s="4"/>
    </row>
    <row r="378" spans="1:1" ht="15.75" customHeight="1" x14ac:dyDescent="0.35">
      <c r="A378" s="4"/>
    </row>
    <row r="379" spans="1:1" ht="15.75" customHeight="1" x14ac:dyDescent="0.35">
      <c r="A379" s="4"/>
    </row>
    <row r="380" spans="1:1" ht="15.75" customHeight="1" x14ac:dyDescent="0.35">
      <c r="A380" s="4"/>
    </row>
    <row r="381" spans="1:1" ht="15.75" customHeight="1" x14ac:dyDescent="0.35">
      <c r="A381" s="4"/>
    </row>
    <row r="382" spans="1:1" ht="15.75" customHeight="1" x14ac:dyDescent="0.35">
      <c r="A382" s="4"/>
    </row>
    <row r="383" spans="1:1" ht="15.75" customHeight="1" x14ac:dyDescent="0.35">
      <c r="A383" s="4"/>
    </row>
    <row r="384" spans="1:1" ht="15.75" customHeight="1" x14ac:dyDescent="0.35">
      <c r="A384" s="4"/>
    </row>
    <row r="385" spans="1:1" ht="15.75" customHeight="1" x14ac:dyDescent="0.35">
      <c r="A385" s="4"/>
    </row>
    <row r="386" spans="1:1" ht="15.75" customHeight="1" x14ac:dyDescent="0.35">
      <c r="A386" s="4"/>
    </row>
    <row r="387" spans="1:1" ht="15.75" customHeight="1" x14ac:dyDescent="0.35">
      <c r="A387" s="4"/>
    </row>
    <row r="388" spans="1:1" ht="15.75" customHeight="1" x14ac:dyDescent="0.35">
      <c r="A388" s="4"/>
    </row>
    <row r="389" spans="1:1" ht="15.75" customHeight="1" x14ac:dyDescent="0.35">
      <c r="A389" s="4"/>
    </row>
    <row r="390" spans="1:1" ht="15.75" customHeight="1" x14ac:dyDescent="0.35">
      <c r="A390" s="4"/>
    </row>
    <row r="391" spans="1:1" ht="15.75" customHeight="1" x14ac:dyDescent="0.35">
      <c r="A391" s="4"/>
    </row>
    <row r="392" spans="1:1" ht="15.75" customHeight="1" x14ac:dyDescent="0.35">
      <c r="A392" s="4"/>
    </row>
    <row r="393" spans="1:1" ht="15.75" customHeight="1" x14ac:dyDescent="0.35">
      <c r="A393" s="4"/>
    </row>
    <row r="394" spans="1:1" ht="15.75" customHeight="1" x14ac:dyDescent="0.35">
      <c r="A394" s="4"/>
    </row>
    <row r="395" spans="1:1" ht="15.75" customHeight="1" x14ac:dyDescent="0.35">
      <c r="A395" s="4"/>
    </row>
    <row r="396" spans="1:1" ht="15.75" customHeight="1" x14ac:dyDescent="0.35">
      <c r="A396" s="4"/>
    </row>
    <row r="397" spans="1:1" ht="15.75" customHeight="1" x14ac:dyDescent="0.35">
      <c r="A397" s="4"/>
    </row>
    <row r="398" spans="1:1" ht="15.75" customHeight="1" x14ac:dyDescent="0.35">
      <c r="A398" s="4"/>
    </row>
    <row r="399" spans="1:1" ht="15.75" customHeight="1" x14ac:dyDescent="0.35">
      <c r="A399" s="4"/>
    </row>
    <row r="400" spans="1:1" ht="15.75" customHeight="1" x14ac:dyDescent="0.35">
      <c r="A400" s="4"/>
    </row>
    <row r="401" spans="1:1" ht="15.75" customHeight="1" x14ac:dyDescent="0.35">
      <c r="A401" s="4"/>
    </row>
    <row r="402" spans="1:1" ht="15.75" customHeight="1" x14ac:dyDescent="0.35">
      <c r="A402" s="4"/>
    </row>
    <row r="403" spans="1:1" ht="15.75" customHeight="1" x14ac:dyDescent="0.35">
      <c r="A403" s="4"/>
    </row>
    <row r="404" spans="1:1" ht="15.75" customHeight="1" x14ac:dyDescent="0.35">
      <c r="A404" s="4"/>
    </row>
    <row r="405" spans="1:1" ht="15.75" customHeight="1" x14ac:dyDescent="0.35">
      <c r="A405" s="4"/>
    </row>
    <row r="406" spans="1:1" ht="15.75" customHeight="1" x14ac:dyDescent="0.35">
      <c r="A406" s="4"/>
    </row>
    <row r="407" spans="1:1" ht="15.75" customHeight="1" x14ac:dyDescent="0.35">
      <c r="A407" s="4"/>
    </row>
    <row r="408" spans="1:1" ht="15.75" customHeight="1" x14ac:dyDescent="0.35">
      <c r="A408" s="4"/>
    </row>
    <row r="409" spans="1:1" ht="15.75" customHeight="1" x14ac:dyDescent="0.35">
      <c r="A409" s="4"/>
    </row>
    <row r="410" spans="1:1" ht="15.75" customHeight="1" x14ac:dyDescent="0.35">
      <c r="A410" s="4"/>
    </row>
    <row r="411" spans="1:1" ht="15.75" customHeight="1" x14ac:dyDescent="0.35">
      <c r="A411" s="4"/>
    </row>
    <row r="412" spans="1:1" ht="15.75" customHeight="1" x14ac:dyDescent="0.35">
      <c r="A412" s="4"/>
    </row>
    <row r="413" spans="1:1" ht="15.75" customHeight="1" x14ac:dyDescent="0.35">
      <c r="A413" s="4"/>
    </row>
    <row r="414" spans="1:1" ht="15.75" customHeight="1" x14ac:dyDescent="0.35">
      <c r="A414" s="4"/>
    </row>
    <row r="415" spans="1:1" ht="15.75" customHeight="1" x14ac:dyDescent="0.35">
      <c r="A415" s="4"/>
    </row>
    <row r="416" spans="1:1" ht="15.75" customHeight="1" x14ac:dyDescent="0.35">
      <c r="A416" s="4"/>
    </row>
    <row r="417" spans="1:1" ht="15.75" customHeight="1" x14ac:dyDescent="0.35">
      <c r="A417" s="4"/>
    </row>
    <row r="418" spans="1:1" ht="15.75" customHeight="1" x14ac:dyDescent="0.35">
      <c r="A418" s="4"/>
    </row>
    <row r="419" spans="1:1" ht="15.75" customHeight="1" x14ac:dyDescent="0.35">
      <c r="A419" s="4"/>
    </row>
    <row r="420" spans="1:1" ht="15.75" customHeight="1" x14ac:dyDescent="0.35">
      <c r="A420" s="4"/>
    </row>
    <row r="421" spans="1:1" ht="15.75" customHeight="1" x14ac:dyDescent="0.35">
      <c r="A421" s="4"/>
    </row>
    <row r="422" spans="1:1" ht="15.75" customHeight="1" x14ac:dyDescent="0.35">
      <c r="A422" s="4"/>
    </row>
    <row r="423" spans="1:1" ht="15.75" customHeight="1" x14ac:dyDescent="0.35">
      <c r="A423" s="4"/>
    </row>
    <row r="424" spans="1:1" ht="15.75" customHeight="1" x14ac:dyDescent="0.35">
      <c r="A424" s="4"/>
    </row>
    <row r="425" spans="1:1" ht="15.75" customHeight="1" x14ac:dyDescent="0.35">
      <c r="A425" s="4"/>
    </row>
    <row r="426" spans="1:1" ht="15.75" customHeight="1" x14ac:dyDescent="0.35">
      <c r="A426" s="4"/>
    </row>
    <row r="427" spans="1:1" ht="15.75" customHeight="1" x14ac:dyDescent="0.35">
      <c r="A427" s="4"/>
    </row>
    <row r="428" spans="1:1" ht="15.75" customHeight="1" x14ac:dyDescent="0.35">
      <c r="A428" s="4"/>
    </row>
    <row r="429" spans="1:1" ht="15.75" customHeight="1" x14ac:dyDescent="0.35">
      <c r="A429" s="4"/>
    </row>
    <row r="430" spans="1:1" ht="15.75" customHeight="1" x14ac:dyDescent="0.35">
      <c r="A430" s="4"/>
    </row>
    <row r="431" spans="1:1" ht="15.75" customHeight="1" x14ac:dyDescent="0.35">
      <c r="A431" s="4"/>
    </row>
    <row r="432" spans="1:1" ht="15.75" customHeight="1" x14ac:dyDescent="0.35">
      <c r="A432" s="4"/>
    </row>
    <row r="433" spans="1:1" ht="15.75" customHeight="1" x14ac:dyDescent="0.35">
      <c r="A433" s="4"/>
    </row>
    <row r="434" spans="1:1" ht="15.75" customHeight="1" x14ac:dyDescent="0.35">
      <c r="A434" s="4"/>
    </row>
    <row r="435" spans="1:1" ht="15.75" customHeight="1" x14ac:dyDescent="0.35">
      <c r="A435" s="4"/>
    </row>
    <row r="436" spans="1:1" ht="15.75" customHeight="1" x14ac:dyDescent="0.35">
      <c r="A436" s="4"/>
    </row>
    <row r="437" spans="1:1" ht="15.75" customHeight="1" x14ac:dyDescent="0.35">
      <c r="A437" s="4"/>
    </row>
    <row r="438" spans="1:1" ht="15.75" customHeight="1" x14ac:dyDescent="0.35">
      <c r="A438" s="4"/>
    </row>
    <row r="439" spans="1:1" ht="15.75" customHeight="1" x14ac:dyDescent="0.35">
      <c r="A439" s="4"/>
    </row>
    <row r="440" spans="1:1" ht="15.75" customHeight="1" x14ac:dyDescent="0.35">
      <c r="A440" s="4"/>
    </row>
    <row r="441" spans="1:1" ht="15.75" customHeight="1" x14ac:dyDescent="0.35">
      <c r="A441" s="4"/>
    </row>
    <row r="442" spans="1:1" ht="15.75" customHeight="1" x14ac:dyDescent="0.35">
      <c r="A442" s="4"/>
    </row>
    <row r="443" spans="1:1" ht="15.75" customHeight="1" x14ac:dyDescent="0.35">
      <c r="A443" s="4"/>
    </row>
    <row r="444" spans="1:1" ht="15.75" customHeight="1" x14ac:dyDescent="0.35">
      <c r="A444" s="4"/>
    </row>
    <row r="445" spans="1:1" ht="15.75" customHeight="1" x14ac:dyDescent="0.35">
      <c r="A445" s="4"/>
    </row>
    <row r="446" spans="1:1" ht="15.75" customHeight="1" x14ac:dyDescent="0.35">
      <c r="A446" s="4"/>
    </row>
    <row r="447" spans="1:1" ht="15.75" customHeight="1" x14ac:dyDescent="0.35">
      <c r="A447" s="4"/>
    </row>
    <row r="448" spans="1:1" ht="15.75" customHeight="1" x14ac:dyDescent="0.35">
      <c r="A448" s="4"/>
    </row>
    <row r="449" spans="1:1" ht="15.75" customHeight="1" x14ac:dyDescent="0.35">
      <c r="A449" s="4"/>
    </row>
    <row r="450" spans="1:1" ht="15.75" customHeight="1" x14ac:dyDescent="0.35">
      <c r="A450" s="4"/>
    </row>
    <row r="451" spans="1:1" ht="15.75" customHeight="1" x14ac:dyDescent="0.35">
      <c r="A451" s="4"/>
    </row>
    <row r="452" spans="1:1" ht="15.75" customHeight="1" x14ac:dyDescent="0.35">
      <c r="A452" s="4"/>
    </row>
    <row r="453" spans="1:1" ht="15.75" customHeight="1" x14ac:dyDescent="0.35">
      <c r="A453" s="4"/>
    </row>
    <row r="454" spans="1:1" ht="15.75" customHeight="1" x14ac:dyDescent="0.35">
      <c r="A454" s="4"/>
    </row>
    <row r="455" spans="1:1" ht="15.75" customHeight="1" x14ac:dyDescent="0.35">
      <c r="A455" s="4"/>
    </row>
    <row r="456" spans="1:1" ht="15.75" customHeight="1" x14ac:dyDescent="0.35">
      <c r="A456" s="4"/>
    </row>
    <row r="457" spans="1:1" ht="15.75" customHeight="1" x14ac:dyDescent="0.35">
      <c r="A457" s="4"/>
    </row>
    <row r="458" spans="1:1" ht="15.75" customHeight="1" x14ac:dyDescent="0.35">
      <c r="A458" s="4"/>
    </row>
    <row r="459" spans="1:1" ht="15.75" customHeight="1" x14ac:dyDescent="0.35">
      <c r="A459" s="4"/>
    </row>
    <row r="460" spans="1:1" ht="15.75" customHeight="1" x14ac:dyDescent="0.35">
      <c r="A460" s="4"/>
    </row>
    <row r="461" spans="1:1" ht="15.75" customHeight="1" x14ac:dyDescent="0.35">
      <c r="A461" s="4"/>
    </row>
    <row r="462" spans="1:1" ht="15.75" customHeight="1" x14ac:dyDescent="0.35">
      <c r="A462" s="4"/>
    </row>
    <row r="463" spans="1:1" ht="15.75" customHeight="1" x14ac:dyDescent="0.35">
      <c r="A463" s="4"/>
    </row>
    <row r="464" spans="1:1" ht="15.75" customHeight="1" x14ac:dyDescent="0.35">
      <c r="A464" s="4"/>
    </row>
    <row r="465" spans="1:1" ht="15.75" customHeight="1" x14ac:dyDescent="0.35">
      <c r="A465" s="4"/>
    </row>
    <row r="466" spans="1:1" ht="15.75" customHeight="1" x14ac:dyDescent="0.35">
      <c r="A466" s="4"/>
    </row>
    <row r="467" spans="1:1" ht="15.75" customHeight="1" x14ac:dyDescent="0.35">
      <c r="A467" s="4"/>
    </row>
    <row r="468" spans="1:1" ht="15.75" customHeight="1" x14ac:dyDescent="0.35">
      <c r="A468" s="4"/>
    </row>
    <row r="469" spans="1:1" ht="15.75" customHeight="1" x14ac:dyDescent="0.35">
      <c r="A469" s="4"/>
    </row>
    <row r="470" spans="1:1" ht="15.75" customHeight="1" x14ac:dyDescent="0.35">
      <c r="A470" s="4"/>
    </row>
    <row r="471" spans="1:1" ht="15.75" customHeight="1" x14ac:dyDescent="0.35">
      <c r="A471" s="4"/>
    </row>
    <row r="472" spans="1:1" ht="15.75" customHeight="1" x14ac:dyDescent="0.35">
      <c r="A472" s="4"/>
    </row>
    <row r="473" spans="1:1" ht="15.75" customHeight="1" x14ac:dyDescent="0.35">
      <c r="A473" s="4"/>
    </row>
    <row r="474" spans="1:1" ht="15.75" customHeight="1" x14ac:dyDescent="0.35">
      <c r="A474" s="4"/>
    </row>
    <row r="475" spans="1:1" ht="15.75" customHeight="1" x14ac:dyDescent="0.35">
      <c r="A475" s="4"/>
    </row>
    <row r="476" spans="1:1" ht="15.75" customHeight="1" x14ac:dyDescent="0.35">
      <c r="A476" s="4"/>
    </row>
    <row r="477" spans="1:1" ht="15.75" customHeight="1" x14ac:dyDescent="0.35">
      <c r="A477" s="4"/>
    </row>
    <row r="478" spans="1:1" ht="15.75" customHeight="1" x14ac:dyDescent="0.35">
      <c r="A478" s="4"/>
    </row>
    <row r="479" spans="1:1" ht="15.75" customHeight="1" x14ac:dyDescent="0.35">
      <c r="A479" s="4"/>
    </row>
    <row r="480" spans="1:1" ht="15.75" customHeight="1" x14ac:dyDescent="0.35">
      <c r="A480" s="4"/>
    </row>
    <row r="481" spans="1:1" ht="15.75" customHeight="1" x14ac:dyDescent="0.35">
      <c r="A481" s="4"/>
    </row>
    <row r="482" spans="1:1" ht="15.75" customHeight="1" x14ac:dyDescent="0.35">
      <c r="A482" s="4"/>
    </row>
    <row r="483" spans="1:1" ht="15.75" customHeight="1" x14ac:dyDescent="0.35">
      <c r="A483" s="4"/>
    </row>
    <row r="484" spans="1:1" ht="15.75" customHeight="1" x14ac:dyDescent="0.35">
      <c r="A484" s="4"/>
    </row>
    <row r="485" spans="1:1" ht="15.75" customHeight="1" x14ac:dyDescent="0.35">
      <c r="A485" s="4"/>
    </row>
    <row r="486" spans="1:1" ht="15.75" customHeight="1" x14ac:dyDescent="0.35">
      <c r="A486" s="4"/>
    </row>
    <row r="487" spans="1:1" ht="15.75" customHeight="1" x14ac:dyDescent="0.35">
      <c r="A487" s="4"/>
    </row>
    <row r="488" spans="1:1" ht="15.75" customHeight="1" x14ac:dyDescent="0.35">
      <c r="A488" s="4"/>
    </row>
    <row r="489" spans="1:1" ht="15.75" customHeight="1" x14ac:dyDescent="0.35">
      <c r="A489" s="4"/>
    </row>
    <row r="490" spans="1:1" ht="15.75" customHeight="1" x14ac:dyDescent="0.35">
      <c r="A490" s="4"/>
    </row>
    <row r="491" spans="1:1" ht="15.75" customHeight="1" x14ac:dyDescent="0.35">
      <c r="A491" s="4"/>
    </row>
    <row r="492" spans="1:1" ht="15.75" customHeight="1" x14ac:dyDescent="0.35">
      <c r="A492" s="4"/>
    </row>
    <row r="493" spans="1:1" ht="15.75" customHeight="1" x14ac:dyDescent="0.35">
      <c r="A493" s="4"/>
    </row>
    <row r="494" spans="1:1" ht="15.75" customHeight="1" x14ac:dyDescent="0.35">
      <c r="A494" s="4"/>
    </row>
    <row r="495" spans="1:1" ht="15.75" customHeight="1" x14ac:dyDescent="0.35">
      <c r="A495" s="4"/>
    </row>
    <row r="496" spans="1:1" ht="15.75" customHeight="1" x14ac:dyDescent="0.35">
      <c r="A496" s="4"/>
    </row>
    <row r="497" spans="1:1" ht="15.75" customHeight="1" x14ac:dyDescent="0.35">
      <c r="A497" s="4"/>
    </row>
    <row r="498" spans="1:1" ht="15.75" customHeight="1" x14ac:dyDescent="0.35">
      <c r="A498" s="4"/>
    </row>
    <row r="499" spans="1:1" ht="15.75" customHeight="1" x14ac:dyDescent="0.35">
      <c r="A499" s="4"/>
    </row>
    <row r="500" spans="1:1" ht="15.75" customHeight="1" x14ac:dyDescent="0.35">
      <c r="A500" s="4"/>
    </row>
    <row r="501" spans="1:1" ht="15.75" customHeight="1" x14ac:dyDescent="0.35">
      <c r="A501" s="4"/>
    </row>
    <row r="502" spans="1:1" ht="15.75" customHeight="1" x14ac:dyDescent="0.35">
      <c r="A502" s="4"/>
    </row>
    <row r="503" spans="1:1" ht="15.75" customHeight="1" x14ac:dyDescent="0.35">
      <c r="A503" s="4"/>
    </row>
    <row r="504" spans="1:1" ht="15.75" customHeight="1" x14ac:dyDescent="0.35">
      <c r="A504" s="4"/>
    </row>
    <row r="505" spans="1:1" ht="15.75" customHeight="1" x14ac:dyDescent="0.35">
      <c r="A505" s="4"/>
    </row>
    <row r="506" spans="1:1" ht="15.75" customHeight="1" x14ac:dyDescent="0.35">
      <c r="A506" s="4"/>
    </row>
    <row r="507" spans="1:1" ht="15.75" customHeight="1" x14ac:dyDescent="0.35">
      <c r="A507" s="4"/>
    </row>
    <row r="508" spans="1:1" ht="15.75" customHeight="1" x14ac:dyDescent="0.35">
      <c r="A508" s="4"/>
    </row>
    <row r="509" spans="1:1" ht="15.75" customHeight="1" x14ac:dyDescent="0.35">
      <c r="A509" s="4"/>
    </row>
    <row r="510" spans="1:1" ht="15.75" customHeight="1" x14ac:dyDescent="0.35">
      <c r="A510" s="4"/>
    </row>
    <row r="511" spans="1:1" ht="15.75" customHeight="1" x14ac:dyDescent="0.35">
      <c r="A511" s="4"/>
    </row>
    <row r="512" spans="1:1" ht="15.75" customHeight="1" x14ac:dyDescent="0.35">
      <c r="A512" s="4"/>
    </row>
    <row r="513" spans="1:1" ht="15.75" customHeight="1" x14ac:dyDescent="0.35">
      <c r="A513" s="4"/>
    </row>
    <row r="514" spans="1:1" ht="15.75" customHeight="1" x14ac:dyDescent="0.35">
      <c r="A514" s="4"/>
    </row>
    <row r="515" spans="1:1" ht="15.75" customHeight="1" x14ac:dyDescent="0.35">
      <c r="A515" s="4"/>
    </row>
    <row r="516" spans="1:1" ht="15.75" customHeight="1" x14ac:dyDescent="0.35">
      <c r="A516" s="4"/>
    </row>
    <row r="517" spans="1:1" ht="15.75" customHeight="1" x14ac:dyDescent="0.35">
      <c r="A517" s="4"/>
    </row>
    <row r="518" spans="1:1" ht="15.75" customHeight="1" x14ac:dyDescent="0.35">
      <c r="A518" s="4"/>
    </row>
    <row r="519" spans="1:1" ht="15.75" customHeight="1" x14ac:dyDescent="0.35">
      <c r="A519" s="4"/>
    </row>
    <row r="520" spans="1:1" ht="15.75" customHeight="1" x14ac:dyDescent="0.35">
      <c r="A520" s="4"/>
    </row>
    <row r="521" spans="1:1" ht="15.75" customHeight="1" x14ac:dyDescent="0.35">
      <c r="A521" s="4"/>
    </row>
    <row r="522" spans="1:1" ht="15.75" customHeight="1" x14ac:dyDescent="0.35">
      <c r="A522" s="4"/>
    </row>
    <row r="523" spans="1:1" ht="15.75" customHeight="1" x14ac:dyDescent="0.35">
      <c r="A523" s="4"/>
    </row>
    <row r="524" spans="1:1" ht="15.75" customHeight="1" x14ac:dyDescent="0.35">
      <c r="A524" s="4"/>
    </row>
    <row r="525" spans="1:1" ht="15.75" customHeight="1" x14ac:dyDescent="0.35">
      <c r="A525" s="4"/>
    </row>
    <row r="526" spans="1:1" ht="15.75" customHeight="1" x14ac:dyDescent="0.35">
      <c r="A526" s="4"/>
    </row>
    <row r="527" spans="1:1" ht="15.75" customHeight="1" x14ac:dyDescent="0.35">
      <c r="A527" s="4"/>
    </row>
    <row r="528" spans="1:1" ht="15.75" customHeight="1" x14ac:dyDescent="0.35">
      <c r="A528" s="4"/>
    </row>
    <row r="529" spans="1:1" ht="15.75" customHeight="1" x14ac:dyDescent="0.35">
      <c r="A529" s="4"/>
    </row>
    <row r="530" spans="1:1" ht="15.75" customHeight="1" x14ac:dyDescent="0.35">
      <c r="A530" s="4"/>
    </row>
    <row r="531" spans="1:1" ht="15.75" customHeight="1" x14ac:dyDescent="0.35">
      <c r="A531" s="4"/>
    </row>
    <row r="532" spans="1:1" ht="15.75" customHeight="1" x14ac:dyDescent="0.35">
      <c r="A532" s="4"/>
    </row>
    <row r="533" spans="1:1" ht="15.75" customHeight="1" x14ac:dyDescent="0.35">
      <c r="A533" s="4"/>
    </row>
    <row r="534" spans="1:1" ht="15.75" customHeight="1" x14ac:dyDescent="0.35">
      <c r="A534" s="4"/>
    </row>
    <row r="535" spans="1:1" ht="15.75" customHeight="1" x14ac:dyDescent="0.35">
      <c r="A535" s="4"/>
    </row>
    <row r="536" spans="1:1" ht="15.75" customHeight="1" x14ac:dyDescent="0.35">
      <c r="A536" s="4"/>
    </row>
    <row r="537" spans="1:1" ht="15.75" customHeight="1" x14ac:dyDescent="0.35">
      <c r="A537" s="4"/>
    </row>
    <row r="538" spans="1:1" ht="15.75" customHeight="1" x14ac:dyDescent="0.35">
      <c r="A538" s="4"/>
    </row>
    <row r="539" spans="1:1" ht="15.75" customHeight="1" x14ac:dyDescent="0.35">
      <c r="A539" s="4"/>
    </row>
    <row r="540" spans="1:1" ht="15.75" customHeight="1" x14ac:dyDescent="0.35">
      <c r="A540" s="4"/>
    </row>
    <row r="541" spans="1:1" ht="15.75" customHeight="1" x14ac:dyDescent="0.35">
      <c r="A541" s="4"/>
    </row>
    <row r="542" spans="1:1" ht="15.75" customHeight="1" x14ac:dyDescent="0.35">
      <c r="A542" s="4"/>
    </row>
    <row r="543" spans="1:1" ht="15.75" customHeight="1" x14ac:dyDescent="0.35">
      <c r="A543" s="4"/>
    </row>
    <row r="544" spans="1:1" ht="15.75" customHeight="1" x14ac:dyDescent="0.35">
      <c r="A544" s="4"/>
    </row>
    <row r="545" spans="1:1" ht="15.75" customHeight="1" x14ac:dyDescent="0.35">
      <c r="A545" s="4"/>
    </row>
    <row r="546" spans="1:1" ht="15.75" customHeight="1" x14ac:dyDescent="0.35">
      <c r="A546" s="4"/>
    </row>
    <row r="547" spans="1:1" ht="15.75" customHeight="1" x14ac:dyDescent="0.35">
      <c r="A547" s="4"/>
    </row>
    <row r="548" spans="1:1" ht="15.75" customHeight="1" x14ac:dyDescent="0.35">
      <c r="A548" s="4"/>
    </row>
    <row r="549" spans="1:1" ht="15.75" customHeight="1" x14ac:dyDescent="0.35">
      <c r="A549" s="4"/>
    </row>
    <row r="550" spans="1:1" ht="15.75" customHeight="1" x14ac:dyDescent="0.35">
      <c r="A550" s="4"/>
    </row>
    <row r="551" spans="1:1" ht="15.75" customHeight="1" x14ac:dyDescent="0.35">
      <c r="A551" s="4"/>
    </row>
    <row r="552" spans="1:1" ht="15.75" customHeight="1" x14ac:dyDescent="0.35">
      <c r="A552" s="4"/>
    </row>
    <row r="553" spans="1:1" ht="15.75" customHeight="1" x14ac:dyDescent="0.35">
      <c r="A553" s="4"/>
    </row>
    <row r="554" spans="1:1" ht="15.75" customHeight="1" x14ac:dyDescent="0.35">
      <c r="A554" s="4"/>
    </row>
    <row r="555" spans="1:1" ht="15.75" customHeight="1" x14ac:dyDescent="0.35">
      <c r="A555" s="4"/>
    </row>
    <row r="556" spans="1:1" ht="15.75" customHeight="1" x14ac:dyDescent="0.35">
      <c r="A556" s="4"/>
    </row>
    <row r="557" spans="1:1" ht="15.75" customHeight="1" x14ac:dyDescent="0.35">
      <c r="A557" s="4"/>
    </row>
    <row r="558" spans="1:1" ht="15.75" customHeight="1" x14ac:dyDescent="0.35">
      <c r="A558" s="4"/>
    </row>
    <row r="559" spans="1:1" ht="15.75" customHeight="1" x14ac:dyDescent="0.35">
      <c r="A559" s="4"/>
    </row>
    <row r="560" spans="1:1" ht="15.75" customHeight="1" x14ac:dyDescent="0.35">
      <c r="A560" s="4"/>
    </row>
    <row r="561" spans="1:1" ht="15.75" customHeight="1" x14ac:dyDescent="0.35">
      <c r="A561" s="4"/>
    </row>
    <row r="562" spans="1:1" ht="15.75" customHeight="1" x14ac:dyDescent="0.35">
      <c r="A562" s="4"/>
    </row>
    <row r="563" spans="1:1" ht="15.75" customHeight="1" x14ac:dyDescent="0.35">
      <c r="A563" s="4"/>
    </row>
    <row r="564" spans="1:1" ht="15.75" customHeight="1" x14ac:dyDescent="0.35">
      <c r="A564" s="4"/>
    </row>
    <row r="565" spans="1:1" ht="15.75" customHeight="1" x14ac:dyDescent="0.35">
      <c r="A565" s="4"/>
    </row>
    <row r="566" spans="1:1" ht="15.75" customHeight="1" x14ac:dyDescent="0.35">
      <c r="A566" s="4"/>
    </row>
    <row r="567" spans="1:1" ht="15.75" customHeight="1" x14ac:dyDescent="0.35">
      <c r="A567" s="4"/>
    </row>
    <row r="568" spans="1:1" ht="15.75" customHeight="1" x14ac:dyDescent="0.35">
      <c r="A568" s="4"/>
    </row>
    <row r="569" spans="1:1" ht="15.75" customHeight="1" x14ac:dyDescent="0.35">
      <c r="A569" s="4"/>
    </row>
    <row r="570" spans="1:1" ht="15.75" customHeight="1" x14ac:dyDescent="0.35">
      <c r="A570" s="4"/>
    </row>
    <row r="571" spans="1:1" ht="15.75" customHeight="1" x14ac:dyDescent="0.35">
      <c r="A571" s="4"/>
    </row>
    <row r="572" spans="1:1" ht="15.75" customHeight="1" x14ac:dyDescent="0.35">
      <c r="A572" s="4"/>
    </row>
    <row r="573" spans="1:1" ht="15.75" customHeight="1" x14ac:dyDescent="0.35">
      <c r="A573" s="4"/>
    </row>
    <row r="574" spans="1:1" ht="15.75" customHeight="1" x14ac:dyDescent="0.35">
      <c r="A574" s="4"/>
    </row>
    <row r="575" spans="1:1" ht="15.75" customHeight="1" x14ac:dyDescent="0.35">
      <c r="A575" s="4"/>
    </row>
    <row r="576" spans="1:1" ht="15.75" customHeight="1" x14ac:dyDescent="0.35">
      <c r="A576" s="4"/>
    </row>
    <row r="577" spans="1:1" ht="15.75" customHeight="1" x14ac:dyDescent="0.35">
      <c r="A577" s="4"/>
    </row>
    <row r="578" spans="1:1" ht="15.75" customHeight="1" x14ac:dyDescent="0.35">
      <c r="A578" s="4"/>
    </row>
    <row r="579" spans="1:1" ht="15.75" customHeight="1" x14ac:dyDescent="0.35">
      <c r="A579" s="4"/>
    </row>
    <row r="580" spans="1:1" ht="15.75" customHeight="1" x14ac:dyDescent="0.35">
      <c r="A580" s="4"/>
    </row>
    <row r="581" spans="1:1" ht="15.75" customHeight="1" x14ac:dyDescent="0.35">
      <c r="A581" s="4"/>
    </row>
    <row r="582" spans="1:1" ht="15.75" customHeight="1" x14ac:dyDescent="0.35">
      <c r="A582" s="4"/>
    </row>
    <row r="583" spans="1:1" ht="15.75" customHeight="1" x14ac:dyDescent="0.35">
      <c r="A583" s="4"/>
    </row>
    <row r="584" spans="1:1" ht="15.75" customHeight="1" x14ac:dyDescent="0.35">
      <c r="A584" s="4"/>
    </row>
    <row r="585" spans="1:1" ht="15.75" customHeight="1" x14ac:dyDescent="0.35">
      <c r="A585" s="4"/>
    </row>
    <row r="586" spans="1:1" ht="15.75" customHeight="1" x14ac:dyDescent="0.35">
      <c r="A586" s="4"/>
    </row>
    <row r="587" spans="1:1" ht="15.75" customHeight="1" x14ac:dyDescent="0.35">
      <c r="A587" s="4"/>
    </row>
    <row r="588" spans="1:1" ht="15.75" customHeight="1" x14ac:dyDescent="0.35">
      <c r="A588" s="4"/>
    </row>
    <row r="589" spans="1:1" ht="15.75" customHeight="1" x14ac:dyDescent="0.35">
      <c r="A589" s="4"/>
    </row>
    <row r="590" spans="1:1" ht="15.75" customHeight="1" x14ac:dyDescent="0.35">
      <c r="A590" s="4"/>
    </row>
    <row r="591" spans="1:1" ht="15.75" customHeight="1" x14ac:dyDescent="0.35">
      <c r="A591" s="4"/>
    </row>
    <row r="592" spans="1:1" ht="15.75" customHeight="1" x14ac:dyDescent="0.35">
      <c r="A592" s="4"/>
    </row>
    <row r="593" spans="1:1" ht="15.75" customHeight="1" x14ac:dyDescent="0.35">
      <c r="A593" s="4"/>
    </row>
    <row r="594" spans="1:1" ht="15.75" customHeight="1" x14ac:dyDescent="0.35">
      <c r="A594" s="4"/>
    </row>
    <row r="595" spans="1:1" ht="15.75" customHeight="1" x14ac:dyDescent="0.35">
      <c r="A595" s="4"/>
    </row>
    <row r="596" spans="1:1" ht="15.75" customHeight="1" x14ac:dyDescent="0.35">
      <c r="A596" s="4"/>
    </row>
    <row r="597" spans="1:1" ht="15.75" customHeight="1" x14ac:dyDescent="0.35">
      <c r="A597" s="4"/>
    </row>
    <row r="598" spans="1:1" ht="15.75" customHeight="1" x14ac:dyDescent="0.35">
      <c r="A598" s="4"/>
    </row>
    <row r="599" spans="1:1" ht="15.75" customHeight="1" x14ac:dyDescent="0.35">
      <c r="A599" s="4"/>
    </row>
    <row r="600" spans="1:1" ht="15.75" customHeight="1" x14ac:dyDescent="0.35">
      <c r="A600" s="4"/>
    </row>
    <row r="601" spans="1:1" ht="15.75" customHeight="1" x14ac:dyDescent="0.35">
      <c r="A601" s="4"/>
    </row>
    <row r="602" spans="1:1" ht="15.75" customHeight="1" x14ac:dyDescent="0.35">
      <c r="A602" s="4"/>
    </row>
    <row r="603" spans="1:1" ht="15.75" customHeight="1" x14ac:dyDescent="0.35">
      <c r="A603" s="4"/>
    </row>
    <row r="604" spans="1:1" ht="15.75" customHeight="1" x14ac:dyDescent="0.35">
      <c r="A604" s="4"/>
    </row>
    <row r="605" spans="1:1" ht="15.75" customHeight="1" x14ac:dyDescent="0.35">
      <c r="A605" s="4"/>
    </row>
    <row r="606" spans="1:1" ht="15.75" customHeight="1" x14ac:dyDescent="0.35">
      <c r="A606" s="4"/>
    </row>
    <row r="607" spans="1:1" ht="15.75" customHeight="1" x14ac:dyDescent="0.35">
      <c r="A607" s="4"/>
    </row>
    <row r="608" spans="1:1" ht="15.75" customHeight="1" x14ac:dyDescent="0.35">
      <c r="A608" s="4"/>
    </row>
    <row r="609" spans="1:1" ht="15.75" customHeight="1" x14ac:dyDescent="0.35">
      <c r="A609" s="4"/>
    </row>
    <row r="610" spans="1:1" ht="15.75" customHeight="1" x14ac:dyDescent="0.35">
      <c r="A610" s="4"/>
    </row>
    <row r="611" spans="1:1" ht="15.75" customHeight="1" x14ac:dyDescent="0.35">
      <c r="A611" s="4"/>
    </row>
    <row r="612" spans="1:1" ht="15.75" customHeight="1" x14ac:dyDescent="0.35">
      <c r="A612" s="4"/>
    </row>
    <row r="613" spans="1:1" ht="15.75" customHeight="1" x14ac:dyDescent="0.35">
      <c r="A613" s="4"/>
    </row>
    <row r="614" spans="1:1" ht="15.75" customHeight="1" x14ac:dyDescent="0.35">
      <c r="A614" s="4"/>
    </row>
    <row r="615" spans="1:1" ht="15.75" customHeight="1" x14ac:dyDescent="0.35">
      <c r="A615" s="4"/>
    </row>
    <row r="616" spans="1:1" ht="15.75" customHeight="1" x14ac:dyDescent="0.35">
      <c r="A616" s="4"/>
    </row>
    <row r="617" spans="1:1" ht="15.75" customHeight="1" x14ac:dyDescent="0.35">
      <c r="A617" s="4"/>
    </row>
    <row r="618" spans="1:1" ht="15.75" customHeight="1" x14ac:dyDescent="0.35">
      <c r="A618" s="4"/>
    </row>
    <row r="619" spans="1:1" ht="15.75" customHeight="1" x14ac:dyDescent="0.35">
      <c r="A619" s="4"/>
    </row>
    <row r="620" spans="1:1" ht="15.75" customHeight="1" x14ac:dyDescent="0.35">
      <c r="A620" s="4"/>
    </row>
    <row r="621" spans="1:1" ht="15.75" customHeight="1" x14ac:dyDescent="0.35">
      <c r="A621" s="4"/>
    </row>
    <row r="622" spans="1:1" ht="15.75" customHeight="1" x14ac:dyDescent="0.35">
      <c r="A622" s="4"/>
    </row>
    <row r="623" spans="1:1" ht="15.75" customHeight="1" x14ac:dyDescent="0.35">
      <c r="A623" s="4"/>
    </row>
    <row r="624" spans="1:1" ht="15.75" customHeight="1" x14ac:dyDescent="0.35">
      <c r="A624" s="4"/>
    </row>
    <row r="625" spans="1:1" ht="15.75" customHeight="1" x14ac:dyDescent="0.35">
      <c r="A625" s="4"/>
    </row>
    <row r="626" spans="1:1" ht="15.75" customHeight="1" x14ac:dyDescent="0.35">
      <c r="A626" s="4"/>
    </row>
    <row r="627" spans="1:1" ht="15.75" customHeight="1" x14ac:dyDescent="0.35">
      <c r="A627" s="4"/>
    </row>
    <row r="628" spans="1:1" ht="15.75" customHeight="1" x14ac:dyDescent="0.35">
      <c r="A628" s="4"/>
    </row>
    <row r="629" spans="1:1" ht="15.75" customHeight="1" x14ac:dyDescent="0.35">
      <c r="A629" s="4"/>
    </row>
    <row r="630" spans="1:1" ht="15.75" customHeight="1" x14ac:dyDescent="0.35">
      <c r="A630" s="4"/>
    </row>
    <row r="631" spans="1:1" ht="15.75" customHeight="1" x14ac:dyDescent="0.35">
      <c r="A631" s="4"/>
    </row>
    <row r="632" spans="1:1" ht="15.75" customHeight="1" x14ac:dyDescent="0.35">
      <c r="A632" s="4"/>
    </row>
    <row r="633" spans="1:1" ht="15.75" customHeight="1" x14ac:dyDescent="0.35">
      <c r="A633" s="4"/>
    </row>
    <row r="634" spans="1:1" ht="15.75" customHeight="1" x14ac:dyDescent="0.35">
      <c r="A634" s="4"/>
    </row>
    <row r="635" spans="1:1" ht="15.75" customHeight="1" x14ac:dyDescent="0.35">
      <c r="A635" s="4"/>
    </row>
    <row r="636" spans="1:1" ht="15.75" customHeight="1" x14ac:dyDescent="0.35">
      <c r="A636" s="4"/>
    </row>
    <row r="637" spans="1:1" ht="15.75" customHeight="1" x14ac:dyDescent="0.35">
      <c r="A637" s="4"/>
    </row>
    <row r="638" spans="1:1" ht="15.75" customHeight="1" x14ac:dyDescent="0.35">
      <c r="A638" s="4"/>
    </row>
    <row r="639" spans="1:1" ht="15.75" customHeight="1" x14ac:dyDescent="0.35">
      <c r="A639" s="4"/>
    </row>
    <row r="640" spans="1:1" ht="15.75" customHeight="1" x14ac:dyDescent="0.35">
      <c r="A640" s="4"/>
    </row>
    <row r="641" spans="1:1" ht="15.75" customHeight="1" x14ac:dyDescent="0.35">
      <c r="A641" s="4"/>
    </row>
    <row r="642" spans="1:1" ht="15.75" customHeight="1" x14ac:dyDescent="0.35">
      <c r="A642" s="4"/>
    </row>
    <row r="643" spans="1:1" ht="15.75" customHeight="1" x14ac:dyDescent="0.35">
      <c r="A643" s="4"/>
    </row>
    <row r="644" spans="1:1" ht="15.75" customHeight="1" x14ac:dyDescent="0.35">
      <c r="A644" s="4"/>
    </row>
    <row r="645" spans="1:1" ht="15.75" customHeight="1" x14ac:dyDescent="0.35">
      <c r="A645" s="4"/>
    </row>
    <row r="646" spans="1:1" ht="15.75" customHeight="1" x14ac:dyDescent="0.35">
      <c r="A646" s="4"/>
    </row>
    <row r="647" spans="1:1" ht="15.75" customHeight="1" x14ac:dyDescent="0.35">
      <c r="A647" s="4"/>
    </row>
    <row r="648" spans="1:1" ht="15.75" customHeight="1" x14ac:dyDescent="0.35">
      <c r="A648" s="4"/>
    </row>
    <row r="649" spans="1:1" ht="15.75" customHeight="1" x14ac:dyDescent="0.35">
      <c r="A649" s="4"/>
    </row>
    <row r="650" spans="1:1" ht="15.75" customHeight="1" x14ac:dyDescent="0.35">
      <c r="A650" s="4"/>
    </row>
    <row r="651" spans="1:1" ht="15.75" customHeight="1" x14ac:dyDescent="0.35">
      <c r="A651" s="4"/>
    </row>
    <row r="652" spans="1:1" ht="15.75" customHeight="1" x14ac:dyDescent="0.35">
      <c r="A652" s="4"/>
    </row>
    <row r="653" spans="1:1" ht="15.75" customHeight="1" x14ac:dyDescent="0.35">
      <c r="A653" s="4"/>
    </row>
    <row r="654" spans="1:1" ht="15.75" customHeight="1" x14ac:dyDescent="0.35">
      <c r="A654" s="4"/>
    </row>
    <row r="655" spans="1:1" ht="15.75" customHeight="1" x14ac:dyDescent="0.35">
      <c r="A655" s="4"/>
    </row>
    <row r="656" spans="1:1" ht="15.75" customHeight="1" x14ac:dyDescent="0.35">
      <c r="A656" s="4"/>
    </row>
    <row r="657" spans="1:1" ht="15.75" customHeight="1" x14ac:dyDescent="0.35">
      <c r="A657" s="4"/>
    </row>
    <row r="658" spans="1:1" ht="15.75" customHeight="1" x14ac:dyDescent="0.35">
      <c r="A658" s="4"/>
    </row>
    <row r="659" spans="1:1" ht="15.75" customHeight="1" x14ac:dyDescent="0.35">
      <c r="A659" s="4"/>
    </row>
    <row r="660" spans="1:1" ht="15.75" customHeight="1" x14ac:dyDescent="0.35">
      <c r="A660" s="4"/>
    </row>
    <row r="661" spans="1:1" ht="15.75" customHeight="1" x14ac:dyDescent="0.35">
      <c r="A661" s="4"/>
    </row>
    <row r="662" spans="1:1" ht="15.75" customHeight="1" x14ac:dyDescent="0.35">
      <c r="A662" s="4"/>
    </row>
    <row r="663" spans="1:1" ht="15.75" customHeight="1" x14ac:dyDescent="0.35">
      <c r="A663" s="4"/>
    </row>
    <row r="664" spans="1:1" ht="15.75" customHeight="1" x14ac:dyDescent="0.35">
      <c r="A664" s="4"/>
    </row>
    <row r="665" spans="1:1" ht="15.75" customHeight="1" x14ac:dyDescent="0.35">
      <c r="A665" s="4"/>
    </row>
    <row r="666" spans="1:1" ht="15.75" customHeight="1" x14ac:dyDescent="0.35">
      <c r="A666" s="4"/>
    </row>
    <row r="667" spans="1:1" ht="15.75" customHeight="1" x14ac:dyDescent="0.35">
      <c r="A667" s="4"/>
    </row>
    <row r="668" spans="1:1" ht="15.75" customHeight="1" x14ac:dyDescent="0.35">
      <c r="A668" s="4"/>
    </row>
    <row r="669" spans="1:1" ht="15.75" customHeight="1" x14ac:dyDescent="0.35">
      <c r="A669" s="4"/>
    </row>
    <row r="670" spans="1:1" ht="15.75" customHeight="1" x14ac:dyDescent="0.35">
      <c r="A670" s="4"/>
    </row>
    <row r="671" spans="1:1" ht="15.75" customHeight="1" x14ac:dyDescent="0.35">
      <c r="A671" s="4"/>
    </row>
    <row r="672" spans="1:1" ht="15.75" customHeight="1" x14ac:dyDescent="0.35">
      <c r="A672" s="4"/>
    </row>
    <row r="673" spans="1:1" ht="15.75" customHeight="1" x14ac:dyDescent="0.35">
      <c r="A673" s="4"/>
    </row>
    <row r="674" spans="1:1" ht="15.75" customHeight="1" x14ac:dyDescent="0.35">
      <c r="A674" s="4"/>
    </row>
    <row r="675" spans="1:1" ht="15.75" customHeight="1" x14ac:dyDescent="0.35">
      <c r="A675" s="4"/>
    </row>
    <row r="676" spans="1:1" ht="15.75" customHeight="1" x14ac:dyDescent="0.35">
      <c r="A676" s="4"/>
    </row>
    <row r="677" spans="1:1" ht="15.75" customHeight="1" x14ac:dyDescent="0.35">
      <c r="A677" s="4"/>
    </row>
    <row r="678" spans="1:1" ht="15.75" customHeight="1" x14ac:dyDescent="0.35">
      <c r="A678" s="4"/>
    </row>
    <row r="679" spans="1:1" ht="15.75" customHeight="1" x14ac:dyDescent="0.35">
      <c r="A679" s="4"/>
    </row>
    <row r="680" spans="1:1" ht="15.75" customHeight="1" x14ac:dyDescent="0.35">
      <c r="A680" s="4"/>
    </row>
    <row r="681" spans="1:1" ht="15.75" customHeight="1" x14ac:dyDescent="0.35">
      <c r="A681" s="4"/>
    </row>
    <row r="682" spans="1:1" ht="15.75" customHeight="1" x14ac:dyDescent="0.35">
      <c r="A682" s="4"/>
    </row>
    <row r="683" spans="1:1" ht="15.75" customHeight="1" x14ac:dyDescent="0.35">
      <c r="A683" s="4"/>
    </row>
    <row r="684" spans="1:1" ht="15.75" customHeight="1" x14ac:dyDescent="0.35">
      <c r="A684" s="4"/>
    </row>
    <row r="685" spans="1:1" ht="15.75" customHeight="1" x14ac:dyDescent="0.35">
      <c r="A685" s="4"/>
    </row>
    <row r="686" spans="1:1" ht="15.75" customHeight="1" x14ac:dyDescent="0.35">
      <c r="A686" s="4"/>
    </row>
    <row r="687" spans="1:1" ht="15.75" customHeight="1" x14ac:dyDescent="0.35">
      <c r="A687" s="4"/>
    </row>
    <row r="688" spans="1:1" ht="15.75" customHeight="1" x14ac:dyDescent="0.35">
      <c r="A688" s="4"/>
    </row>
    <row r="689" spans="1:1" ht="15.75" customHeight="1" x14ac:dyDescent="0.35">
      <c r="A689" s="4"/>
    </row>
    <row r="690" spans="1:1" ht="15.75" customHeight="1" x14ac:dyDescent="0.35">
      <c r="A690" s="4"/>
    </row>
    <row r="691" spans="1:1" ht="15.75" customHeight="1" x14ac:dyDescent="0.35">
      <c r="A691" s="4"/>
    </row>
    <row r="692" spans="1:1" ht="15.75" customHeight="1" x14ac:dyDescent="0.35">
      <c r="A692" s="4"/>
    </row>
    <row r="693" spans="1:1" ht="15.75" customHeight="1" x14ac:dyDescent="0.35">
      <c r="A693" s="4"/>
    </row>
    <row r="694" spans="1:1" ht="15.75" customHeight="1" x14ac:dyDescent="0.35">
      <c r="A694" s="4"/>
    </row>
    <row r="695" spans="1:1" ht="15.75" customHeight="1" x14ac:dyDescent="0.35">
      <c r="A695" s="4"/>
    </row>
    <row r="696" spans="1:1" ht="15.75" customHeight="1" x14ac:dyDescent="0.35">
      <c r="A696" s="4"/>
    </row>
    <row r="697" spans="1:1" ht="15.75" customHeight="1" x14ac:dyDescent="0.35">
      <c r="A697" s="4"/>
    </row>
    <row r="698" spans="1:1" ht="15.75" customHeight="1" x14ac:dyDescent="0.35">
      <c r="A698" s="4"/>
    </row>
    <row r="699" spans="1:1" ht="15.75" customHeight="1" x14ac:dyDescent="0.35">
      <c r="A699" s="4"/>
    </row>
    <row r="700" spans="1:1" ht="15.75" customHeight="1" x14ac:dyDescent="0.35">
      <c r="A700" s="4"/>
    </row>
    <row r="701" spans="1:1" ht="15.75" customHeight="1" x14ac:dyDescent="0.35">
      <c r="A701" s="4"/>
    </row>
    <row r="702" spans="1:1" ht="15.75" customHeight="1" x14ac:dyDescent="0.35">
      <c r="A702" s="4"/>
    </row>
    <row r="703" spans="1:1" ht="15.75" customHeight="1" x14ac:dyDescent="0.35">
      <c r="A703" s="4"/>
    </row>
    <row r="704" spans="1:1" ht="15.75" customHeight="1" x14ac:dyDescent="0.35">
      <c r="A704" s="4"/>
    </row>
    <row r="705" spans="1:1" ht="15.75" customHeight="1" x14ac:dyDescent="0.35">
      <c r="A705" s="4"/>
    </row>
    <row r="706" spans="1:1" ht="15.75" customHeight="1" x14ac:dyDescent="0.35">
      <c r="A706" s="4"/>
    </row>
    <row r="707" spans="1:1" ht="15.75" customHeight="1" x14ac:dyDescent="0.35">
      <c r="A707" s="4"/>
    </row>
    <row r="708" spans="1:1" ht="15.75" customHeight="1" x14ac:dyDescent="0.35">
      <c r="A708" s="4"/>
    </row>
    <row r="709" spans="1:1" ht="15.75" customHeight="1" x14ac:dyDescent="0.35">
      <c r="A709" s="4"/>
    </row>
    <row r="710" spans="1:1" ht="15.75" customHeight="1" x14ac:dyDescent="0.35">
      <c r="A710" s="4"/>
    </row>
    <row r="711" spans="1:1" ht="15.75" customHeight="1" x14ac:dyDescent="0.35">
      <c r="A711" s="4"/>
    </row>
    <row r="712" spans="1:1" ht="15.75" customHeight="1" x14ac:dyDescent="0.35">
      <c r="A712" s="4"/>
    </row>
    <row r="713" spans="1:1" ht="15.75" customHeight="1" x14ac:dyDescent="0.35">
      <c r="A713" s="4"/>
    </row>
    <row r="714" spans="1:1" ht="15.75" customHeight="1" x14ac:dyDescent="0.35">
      <c r="A714" s="4"/>
    </row>
    <row r="715" spans="1:1" ht="15.75" customHeight="1" x14ac:dyDescent="0.35">
      <c r="A715" s="4"/>
    </row>
    <row r="716" spans="1:1" ht="15.75" customHeight="1" x14ac:dyDescent="0.35">
      <c r="A716" s="4"/>
    </row>
    <row r="717" spans="1:1" ht="15.75" customHeight="1" x14ac:dyDescent="0.35">
      <c r="A717" s="4"/>
    </row>
    <row r="718" spans="1:1" ht="15.75" customHeight="1" x14ac:dyDescent="0.35">
      <c r="A718" s="4"/>
    </row>
    <row r="719" spans="1:1" ht="15.75" customHeight="1" x14ac:dyDescent="0.35">
      <c r="A719" s="4"/>
    </row>
    <row r="720" spans="1:1" ht="15.75" customHeight="1" x14ac:dyDescent="0.35">
      <c r="A720" s="4"/>
    </row>
    <row r="721" spans="1:1" ht="15.75" customHeight="1" x14ac:dyDescent="0.35">
      <c r="A721" s="4"/>
    </row>
    <row r="722" spans="1:1" ht="15.75" customHeight="1" x14ac:dyDescent="0.35">
      <c r="A722" s="4"/>
    </row>
    <row r="723" spans="1:1" ht="15.75" customHeight="1" x14ac:dyDescent="0.35">
      <c r="A723" s="4"/>
    </row>
    <row r="724" spans="1:1" ht="15.75" customHeight="1" x14ac:dyDescent="0.35">
      <c r="A724" s="4"/>
    </row>
    <row r="725" spans="1:1" ht="15.75" customHeight="1" x14ac:dyDescent="0.35">
      <c r="A725" s="4"/>
    </row>
    <row r="726" spans="1:1" ht="15.75" customHeight="1" x14ac:dyDescent="0.35">
      <c r="A726" s="4"/>
    </row>
    <row r="727" spans="1:1" ht="15.75" customHeight="1" x14ac:dyDescent="0.35">
      <c r="A727" s="4"/>
    </row>
    <row r="728" spans="1:1" ht="15.75" customHeight="1" x14ac:dyDescent="0.35">
      <c r="A728" s="4"/>
    </row>
    <row r="729" spans="1:1" ht="15.75" customHeight="1" x14ac:dyDescent="0.35">
      <c r="A729" s="4"/>
    </row>
    <row r="730" spans="1:1" ht="15.75" customHeight="1" x14ac:dyDescent="0.35">
      <c r="A730" s="4"/>
    </row>
    <row r="731" spans="1:1" ht="15.75" customHeight="1" x14ac:dyDescent="0.35">
      <c r="A731" s="4"/>
    </row>
    <row r="732" spans="1:1" ht="15.75" customHeight="1" x14ac:dyDescent="0.35">
      <c r="A732" s="4"/>
    </row>
    <row r="733" spans="1:1" ht="15.75" customHeight="1" x14ac:dyDescent="0.35">
      <c r="A733" s="4"/>
    </row>
    <row r="734" spans="1:1" ht="15.75" customHeight="1" x14ac:dyDescent="0.35">
      <c r="A734" s="4"/>
    </row>
    <row r="735" spans="1:1" ht="15.75" customHeight="1" x14ac:dyDescent="0.35">
      <c r="A735" s="4"/>
    </row>
    <row r="736" spans="1:1" ht="15.75" customHeight="1" x14ac:dyDescent="0.35">
      <c r="A736" s="4"/>
    </row>
    <row r="737" spans="1:1" ht="15.75" customHeight="1" x14ac:dyDescent="0.35">
      <c r="A737" s="4"/>
    </row>
    <row r="738" spans="1:1" ht="15.75" customHeight="1" x14ac:dyDescent="0.35">
      <c r="A738" s="4"/>
    </row>
    <row r="739" spans="1:1" ht="15.75" customHeight="1" x14ac:dyDescent="0.35">
      <c r="A739" s="4"/>
    </row>
    <row r="740" spans="1:1" ht="15.75" customHeight="1" x14ac:dyDescent="0.35">
      <c r="A740" s="4"/>
    </row>
    <row r="741" spans="1:1" ht="15.75" customHeight="1" x14ac:dyDescent="0.35">
      <c r="A741" s="4"/>
    </row>
    <row r="742" spans="1:1" ht="15.75" customHeight="1" x14ac:dyDescent="0.35">
      <c r="A742" s="4"/>
    </row>
    <row r="743" spans="1:1" ht="15.75" customHeight="1" x14ac:dyDescent="0.35">
      <c r="A743" s="4"/>
    </row>
    <row r="744" spans="1:1" ht="15.75" customHeight="1" x14ac:dyDescent="0.35">
      <c r="A744" s="4"/>
    </row>
    <row r="745" spans="1:1" ht="15.75" customHeight="1" x14ac:dyDescent="0.35">
      <c r="A745" s="4"/>
    </row>
    <row r="746" spans="1:1" ht="15.75" customHeight="1" x14ac:dyDescent="0.35">
      <c r="A746" s="4"/>
    </row>
    <row r="747" spans="1:1" ht="15.75" customHeight="1" x14ac:dyDescent="0.35">
      <c r="A747" s="4"/>
    </row>
    <row r="748" spans="1:1" ht="15.75" customHeight="1" x14ac:dyDescent="0.35">
      <c r="A748" s="4"/>
    </row>
    <row r="749" spans="1:1" ht="15.75" customHeight="1" x14ac:dyDescent="0.35">
      <c r="A749" s="4"/>
    </row>
    <row r="750" spans="1:1" ht="15.75" customHeight="1" x14ac:dyDescent="0.35">
      <c r="A750" s="4"/>
    </row>
    <row r="751" spans="1:1" ht="15.75" customHeight="1" x14ac:dyDescent="0.35">
      <c r="A751" s="4"/>
    </row>
    <row r="752" spans="1:1" ht="15.75" customHeight="1" x14ac:dyDescent="0.35">
      <c r="A752" s="4"/>
    </row>
    <row r="753" spans="1:1" ht="15.75" customHeight="1" x14ac:dyDescent="0.35">
      <c r="A753" s="4"/>
    </row>
    <row r="754" spans="1:1" ht="15.75" customHeight="1" x14ac:dyDescent="0.35">
      <c r="A754" s="4"/>
    </row>
    <row r="755" spans="1:1" ht="15.75" customHeight="1" x14ac:dyDescent="0.35">
      <c r="A755" s="4"/>
    </row>
    <row r="756" spans="1:1" ht="15.75" customHeight="1" x14ac:dyDescent="0.35">
      <c r="A756" s="4"/>
    </row>
    <row r="757" spans="1:1" ht="15.75" customHeight="1" x14ac:dyDescent="0.35">
      <c r="A757" s="4"/>
    </row>
    <row r="758" spans="1:1" ht="15.75" customHeight="1" x14ac:dyDescent="0.35">
      <c r="A758" s="4"/>
    </row>
    <row r="759" spans="1:1" ht="15.75" customHeight="1" x14ac:dyDescent="0.35">
      <c r="A759" s="4"/>
    </row>
    <row r="760" spans="1:1" ht="15.75" customHeight="1" x14ac:dyDescent="0.35">
      <c r="A760" s="4"/>
    </row>
    <row r="761" spans="1:1" ht="15.75" customHeight="1" x14ac:dyDescent="0.35">
      <c r="A761" s="4"/>
    </row>
    <row r="762" spans="1:1" ht="15.75" customHeight="1" x14ac:dyDescent="0.35">
      <c r="A762" s="4"/>
    </row>
    <row r="763" spans="1:1" ht="15.75" customHeight="1" x14ac:dyDescent="0.35">
      <c r="A763" s="4"/>
    </row>
    <row r="764" spans="1:1" ht="15.75" customHeight="1" x14ac:dyDescent="0.35">
      <c r="A764" s="4"/>
    </row>
    <row r="765" spans="1:1" ht="15.75" customHeight="1" x14ac:dyDescent="0.35">
      <c r="A765" s="4"/>
    </row>
    <row r="766" spans="1:1" ht="15.75" customHeight="1" x14ac:dyDescent="0.35">
      <c r="A766" s="4"/>
    </row>
    <row r="767" spans="1:1" ht="15.75" customHeight="1" x14ac:dyDescent="0.35">
      <c r="A767" s="4"/>
    </row>
    <row r="768" spans="1:1" ht="15.75" customHeight="1" x14ac:dyDescent="0.35">
      <c r="A768" s="4"/>
    </row>
    <row r="769" spans="1:1" ht="15.75" customHeight="1" x14ac:dyDescent="0.35">
      <c r="A769" s="4"/>
    </row>
    <row r="770" spans="1:1" ht="15.75" customHeight="1" x14ac:dyDescent="0.35">
      <c r="A770" s="4"/>
    </row>
    <row r="771" spans="1:1" ht="15.75" customHeight="1" x14ac:dyDescent="0.35">
      <c r="A771" s="4"/>
    </row>
    <row r="772" spans="1:1" ht="15.75" customHeight="1" x14ac:dyDescent="0.35">
      <c r="A772" s="4"/>
    </row>
    <row r="773" spans="1:1" ht="15.75" customHeight="1" x14ac:dyDescent="0.35">
      <c r="A773" s="4"/>
    </row>
    <row r="774" spans="1:1" ht="15.75" customHeight="1" x14ac:dyDescent="0.35">
      <c r="A774" s="4"/>
    </row>
    <row r="775" spans="1:1" ht="15.75" customHeight="1" x14ac:dyDescent="0.35">
      <c r="A775" s="4"/>
    </row>
    <row r="776" spans="1:1" ht="15.75" customHeight="1" x14ac:dyDescent="0.35">
      <c r="A776" s="4"/>
    </row>
    <row r="777" spans="1:1" ht="15.75" customHeight="1" x14ac:dyDescent="0.35">
      <c r="A777" s="4"/>
    </row>
    <row r="778" spans="1:1" ht="15.75" customHeight="1" x14ac:dyDescent="0.35">
      <c r="A778" s="4"/>
    </row>
    <row r="779" spans="1:1" ht="15.75" customHeight="1" x14ac:dyDescent="0.35">
      <c r="A779" s="4"/>
    </row>
    <row r="780" spans="1:1" ht="15.75" customHeight="1" x14ac:dyDescent="0.35">
      <c r="A780" s="4"/>
    </row>
    <row r="781" spans="1:1" ht="15.75" customHeight="1" x14ac:dyDescent="0.35">
      <c r="A781" s="4"/>
    </row>
    <row r="782" spans="1:1" ht="15.75" customHeight="1" x14ac:dyDescent="0.35">
      <c r="A782" s="4"/>
    </row>
    <row r="783" spans="1:1" ht="15.75" customHeight="1" x14ac:dyDescent="0.35">
      <c r="A783" s="4"/>
    </row>
    <row r="784" spans="1:1" ht="15.75" customHeight="1" x14ac:dyDescent="0.35">
      <c r="A784" s="4"/>
    </row>
    <row r="785" spans="1:1" ht="15.75" customHeight="1" x14ac:dyDescent="0.35">
      <c r="A785" s="4"/>
    </row>
    <row r="786" spans="1:1" ht="15.75" customHeight="1" x14ac:dyDescent="0.35">
      <c r="A786" s="4"/>
    </row>
    <row r="787" spans="1:1" ht="15.75" customHeight="1" x14ac:dyDescent="0.35">
      <c r="A787" s="4"/>
    </row>
    <row r="788" spans="1:1" ht="15.75" customHeight="1" x14ac:dyDescent="0.35">
      <c r="A788" s="4"/>
    </row>
    <row r="789" spans="1:1" ht="15.75" customHeight="1" x14ac:dyDescent="0.35">
      <c r="A789" s="4"/>
    </row>
    <row r="790" spans="1:1" ht="15.75" customHeight="1" x14ac:dyDescent="0.35">
      <c r="A790" s="4"/>
    </row>
    <row r="791" spans="1:1" ht="15.75" customHeight="1" x14ac:dyDescent="0.35">
      <c r="A791" s="4"/>
    </row>
    <row r="792" spans="1:1" ht="15.75" customHeight="1" x14ac:dyDescent="0.35">
      <c r="A792" s="4"/>
    </row>
    <row r="793" spans="1:1" ht="15.75" customHeight="1" x14ac:dyDescent="0.35">
      <c r="A793" s="4"/>
    </row>
    <row r="794" spans="1:1" ht="15.75" customHeight="1" x14ac:dyDescent="0.35">
      <c r="A794" s="4"/>
    </row>
    <row r="795" spans="1:1" ht="15.75" customHeight="1" x14ac:dyDescent="0.35">
      <c r="A795" s="4"/>
    </row>
    <row r="796" spans="1:1" ht="15.75" customHeight="1" x14ac:dyDescent="0.35">
      <c r="A796" s="4"/>
    </row>
    <row r="797" spans="1:1" ht="15.75" customHeight="1" x14ac:dyDescent="0.35">
      <c r="A797" s="4"/>
    </row>
    <row r="798" spans="1:1" ht="15.75" customHeight="1" x14ac:dyDescent="0.35">
      <c r="A798" s="4"/>
    </row>
    <row r="799" spans="1:1" ht="15.75" customHeight="1" x14ac:dyDescent="0.35">
      <c r="A799" s="4"/>
    </row>
    <row r="800" spans="1:1" ht="15.75" customHeight="1" x14ac:dyDescent="0.35">
      <c r="A800" s="4"/>
    </row>
    <row r="801" spans="1:1" ht="15.75" customHeight="1" x14ac:dyDescent="0.35">
      <c r="A801" s="4"/>
    </row>
    <row r="802" spans="1:1" ht="15.75" customHeight="1" x14ac:dyDescent="0.35">
      <c r="A802" s="4"/>
    </row>
    <row r="803" spans="1:1" ht="15.75" customHeight="1" x14ac:dyDescent="0.35">
      <c r="A803" s="4"/>
    </row>
    <row r="804" spans="1:1" ht="15.75" customHeight="1" x14ac:dyDescent="0.35">
      <c r="A804" s="4"/>
    </row>
    <row r="805" spans="1:1" ht="15.75" customHeight="1" x14ac:dyDescent="0.35">
      <c r="A805" s="4"/>
    </row>
    <row r="806" spans="1:1" ht="15.75" customHeight="1" x14ac:dyDescent="0.35">
      <c r="A806" s="4"/>
    </row>
    <row r="807" spans="1:1" ht="15.75" customHeight="1" x14ac:dyDescent="0.35">
      <c r="A807" s="4"/>
    </row>
    <row r="808" spans="1:1" ht="15.75" customHeight="1" x14ac:dyDescent="0.35">
      <c r="A808" s="4"/>
    </row>
    <row r="809" spans="1:1" ht="15.75" customHeight="1" x14ac:dyDescent="0.35">
      <c r="A809" s="4"/>
    </row>
    <row r="810" spans="1:1" ht="15.75" customHeight="1" x14ac:dyDescent="0.35">
      <c r="A810" s="4"/>
    </row>
    <row r="811" spans="1:1" ht="15.75" customHeight="1" x14ac:dyDescent="0.35">
      <c r="A811" s="4"/>
    </row>
    <row r="812" spans="1:1" ht="15.75" customHeight="1" x14ac:dyDescent="0.35">
      <c r="A812" s="4"/>
    </row>
    <row r="813" spans="1:1" ht="15.75" customHeight="1" x14ac:dyDescent="0.35">
      <c r="A813" s="4"/>
    </row>
    <row r="814" spans="1:1" ht="15.75" customHeight="1" x14ac:dyDescent="0.35">
      <c r="A814" s="4"/>
    </row>
    <row r="815" spans="1:1" ht="15.75" customHeight="1" x14ac:dyDescent="0.35">
      <c r="A815" s="4"/>
    </row>
    <row r="816" spans="1:1" ht="15.75" customHeight="1" x14ac:dyDescent="0.35">
      <c r="A816" s="4"/>
    </row>
    <row r="817" spans="1:1" ht="15.75" customHeight="1" x14ac:dyDescent="0.35">
      <c r="A817" s="4"/>
    </row>
    <row r="818" spans="1:1" ht="15.75" customHeight="1" x14ac:dyDescent="0.35">
      <c r="A818" s="4"/>
    </row>
    <row r="819" spans="1:1" ht="15.75" customHeight="1" x14ac:dyDescent="0.35">
      <c r="A819" s="4"/>
    </row>
    <row r="820" spans="1:1" ht="15.75" customHeight="1" x14ac:dyDescent="0.35">
      <c r="A820" s="4"/>
    </row>
    <row r="821" spans="1:1" ht="15.75" customHeight="1" x14ac:dyDescent="0.35">
      <c r="A821" s="4"/>
    </row>
    <row r="822" spans="1:1" ht="15.75" customHeight="1" x14ac:dyDescent="0.35">
      <c r="A822" s="4"/>
    </row>
    <row r="823" spans="1:1" ht="15.75" customHeight="1" x14ac:dyDescent="0.35">
      <c r="A823" s="4"/>
    </row>
    <row r="824" spans="1:1" ht="15.75" customHeight="1" x14ac:dyDescent="0.35">
      <c r="A824" s="4"/>
    </row>
    <row r="825" spans="1:1" ht="15.75" customHeight="1" x14ac:dyDescent="0.35">
      <c r="A825" s="4"/>
    </row>
    <row r="826" spans="1:1" ht="15.75" customHeight="1" x14ac:dyDescent="0.35">
      <c r="A826" s="4"/>
    </row>
    <row r="827" spans="1:1" ht="15.75" customHeight="1" x14ac:dyDescent="0.35">
      <c r="A827" s="4"/>
    </row>
    <row r="828" spans="1:1" ht="15.75" customHeight="1" x14ac:dyDescent="0.35">
      <c r="A828" s="4"/>
    </row>
    <row r="829" spans="1:1" ht="15.75" customHeight="1" x14ac:dyDescent="0.35">
      <c r="A829" s="4"/>
    </row>
    <row r="830" spans="1:1" ht="15.75" customHeight="1" x14ac:dyDescent="0.35">
      <c r="A830" s="4"/>
    </row>
    <row r="831" spans="1:1" ht="15.75" customHeight="1" x14ac:dyDescent="0.35">
      <c r="A831" s="4"/>
    </row>
    <row r="832" spans="1:1" ht="15.75" customHeight="1" x14ac:dyDescent="0.35">
      <c r="A832" s="4"/>
    </row>
    <row r="833" spans="1:1" ht="15.75" customHeight="1" x14ac:dyDescent="0.35">
      <c r="A833" s="4"/>
    </row>
    <row r="834" spans="1:1" ht="15.75" customHeight="1" x14ac:dyDescent="0.35">
      <c r="A834" s="4"/>
    </row>
    <row r="835" spans="1:1" ht="15.75" customHeight="1" x14ac:dyDescent="0.35">
      <c r="A835" s="4"/>
    </row>
    <row r="836" spans="1:1" ht="15.75" customHeight="1" x14ac:dyDescent="0.35">
      <c r="A836" s="4"/>
    </row>
    <row r="837" spans="1:1" ht="15.75" customHeight="1" x14ac:dyDescent="0.35">
      <c r="A837" s="4"/>
    </row>
    <row r="838" spans="1:1" ht="15.75" customHeight="1" x14ac:dyDescent="0.35">
      <c r="A838" s="4"/>
    </row>
    <row r="839" spans="1:1" ht="15.75" customHeight="1" x14ac:dyDescent="0.35">
      <c r="A839" s="4"/>
    </row>
    <row r="840" spans="1:1" ht="15.75" customHeight="1" x14ac:dyDescent="0.35">
      <c r="A840" s="4"/>
    </row>
    <row r="841" spans="1:1" ht="15.75" customHeight="1" x14ac:dyDescent="0.35">
      <c r="A841" s="4"/>
    </row>
    <row r="842" spans="1:1" ht="15.75" customHeight="1" x14ac:dyDescent="0.35">
      <c r="A842" s="4"/>
    </row>
    <row r="843" spans="1:1" ht="15.75" customHeight="1" x14ac:dyDescent="0.35">
      <c r="A843" s="4"/>
    </row>
    <row r="844" spans="1:1" ht="15.75" customHeight="1" x14ac:dyDescent="0.35">
      <c r="A844" s="4"/>
    </row>
    <row r="845" spans="1:1" ht="15.75" customHeight="1" x14ac:dyDescent="0.35">
      <c r="A845" s="4"/>
    </row>
    <row r="846" spans="1:1" ht="15.75" customHeight="1" x14ac:dyDescent="0.35">
      <c r="A846" s="4"/>
    </row>
    <row r="847" spans="1:1" ht="15.75" customHeight="1" x14ac:dyDescent="0.35">
      <c r="A847" s="4"/>
    </row>
    <row r="848" spans="1:1" ht="15.75" customHeight="1" x14ac:dyDescent="0.35">
      <c r="A848" s="4"/>
    </row>
    <row r="849" spans="1:1" ht="15.75" customHeight="1" x14ac:dyDescent="0.35">
      <c r="A849" s="4"/>
    </row>
    <row r="850" spans="1:1" ht="15.75" customHeight="1" x14ac:dyDescent="0.35">
      <c r="A850" s="4"/>
    </row>
    <row r="851" spans="1:1" ht="15.75" customHeight="1" x14ac:dyDescent="0.35">
      <c r="A851" s="4"/>
    </row>
    <row r="852" spans="1:1" ht="15.75" customHeight="1" x14ac:dyDescent="0.35">
      <c r="A852" s="4"/>
    </row>
    <row r="853" spans="1:1" ht="15.75" customHeight="1" x14ac:dyDescent="0.35">
      <c r="A853" s="4"/>
    </row>
    <row r="854" spans="1:1" ht="15.75" customHeight="1" x14ac:dyDescent="0.35">
      <c r="A854" s="4"/>
    </row>
    <row r="855" spans="1:1" ht="15.75" customHeight="1" x14ac:dyDescent="0.35">
      <c r="A855" s="4"/>
    </row>
    <row r="856" spans="1:1" ht="15.75" customHeight="1" x14ac:dyDescent="0.35">
      <c r="A856" s="4"/>
    </row>
    <row r="857" spans="1:1" ht="15.75" customHeight="1" x14ac:dyDescent="0.35">
      <c r="A857" s="4"/>
    </row>
    <row r="858" spans="1:1" ht="15.75" customHeight="1" x14ac:dyDescent="0.35">
      <c r="A858" s="4"/>
    </row>
    <row r="859" spans="1:1" ht="15.75" customHeight="1" x14ac:dyDescent="0.35">
      <c r="A859" s="4"/>
    </row>
    <row r="860" spans="1:1" ht="15.75" customHeight="1" x14ac:dyDescent="0.35">
      <c r="A860" s="4"/>
    </row>
    <row r="861" spans="1:1" ht="15.75" customHeight="1" x14ac:dyDescent="0.35">
      <c r="A861" s="4"/>
    </row>
    <row r="862" spans="1:1" ht="15.75" customHeight="1" x14ac:dyDescent="0.35">
      <c r="A862" s="4"/>
    </row>
    <row r="863" spans="1:1" ht="15.75" customHeight="1" x14ac:dyDescent="0.35">
      <c r="A863" s="4"/>
    </row>
    <row r="864" spans="1:1" ht="15.75" customHeight="1" x14ac:dyDescent="0.35">
      <c r="A864" s="4"/>
    </row>
    <row r="865" spans="1:1" ht="15.75" customHeight="1" x14ac:dyDescent="0.35">
      <c r="A865" s="4"/>
    </row>
    <row r="866" spans="1:1" ht="15.75" customHeight="1" x14ac:dyDescent="0.35">
      <c r="A866" s="4"/>
    </row>
    <row r="867" spans="1:1" ht="15.75" customHeight="1" x14ac:dyDescent="0.35">
      <c r="A867" s="4"/>
    </row>
    <row r="868" spans="1:1" ht="15.75" customHeight="1" x14ac:dyDescent="0.35">
      <c r="A868" s="4"/>
    </row>
    <row r="869" spans="1:1" ht="15.75" customHeight="1" x14ac:dyDescent="0.35">
      <c r="A869" s="4"/>
    </row>
    <row r="870" spans="1:1" ht="15.75" customHeight="1" x14ac:dyDescent="0.35">
      <c r="A870" s="4"/>
    </row>
    <row r="871" spans="1:1" ht="15.75" customHeight="1" x14ac:dyDescent="0.35">
      <c r="A871" s="4"/>
    </row>
    <row r="872" spans="1:1" ht="15.75" customHeight="1" x14ac:dyDescent="0.35">
      <c r="A872" s="4"/>
    </row>
    <row r="873" spans="1:1" ht="15.75" customHeight="1" x14ac:dyDescent="0.35">
      <c r="A873" s="4"/>
    </row>
    <row r="874" spans="1:1" ht="15.75" customHeight="1" x14ac:dyDescent="0.35">
      <c r="A874" s="4"/>
    </row>
    <row r="875" spans="1:1" ht="15.75" customHeight="1" x14ac:dyDescent="0.35">
      <c r="A875" s="4"/>
    </row>
    <row r="876" spans="1:1" ht="15.75" customHeight="1" x14ac:dyDescent="0.35">
      <c r="A876" s="4"/>
    </row>
    <row r="877" spans="1:1" ht="15.75" customHeight="1" x14ac:dyDescent="0.35">
      <c r="A877" s="4"/>
    </row>
    <row r="878" spans="1:1" ht="15.75" customHeight="1" x14ac:dyDescent="0.35">
      <c r="A878" s="4"/>
    </row>
    <row r="879" spans="1:1" ht="15.75" customHeight="1" x14ac:dyDescent="0.35">
      <c r="A879" s="4"/>
    </row>
    <row r="880" spans="1:1" ht="15.75" customHeight="1" x14ac:dyDescent="0.35">
      <c r="A880" s="4"/>
    </row>
    <row r="881" spans="1:1" ht="15.75" customHeight="1" x14ac:dyDescent="0.35">
      <c r="A881" s="4"/>
    </row>
    <row r="882" spans="1:1" ht="15.75" customHeight="1" x14ac:dyDescent="0.35">
      <c r="A882" s="4"/>
    </row>
    <row r="883" spans="1:1" ht="15.75" customHeight="1" x14ac:dyDescent="0.35">
      <c r="A883" s="4"/>
    </row>
    <row r="884" spans="1:1" ht="15.75" customHeight="1" x14ac:dyDescent="0.35">
      <c r="A884" s="4"/>
    </row>
    <row r="885" spans="1:1" ht="15.75" customHeight="1" x14ac:dyDescent="0.35">
      <c r="A885" s="4"/>
    </row>
    <row r="886" spans="1:1" ht="15.75" customHeight="1" x14ac:dyDescent="0.35">
      <c r="A886" s="4"/>
    </row>
    <row r="887" spans="1:1" ht="15.75" customHeight="1" x14ac:dyDescent="0.35">
      <c r="A887" s="4"/>
    </row>
    <row r="888" spans="1:1" ht="15.75" customHeight="1" x14ac:dyDescent="0.35">
      <c r="A888" s="4"/>
    </row>
    <row r="889" spans="1:1" ht="15.75" customHeight="1" x14ac:dyDescent="0.35">
      <c r="A889" s="4"/>
    </row>
    <row r="890" spans="1:1" ht="15.75" customHeight="1" x14ac:dyDescent="0.35">
      <c r="A890" s="4"/>
    </row>
    <row r="891" spans="1:1" ht="15.75" customHeight="1" x14ac:dyDescent="0.35">
      <c r="A891" s="4"/>
    </row>
    <row r="892" spans="1:1" ht="15.75" customHeight="1" x14ac:dyDescent="0.35">
      <c r="A892" s="4"/>
    </row>
    <row r="893" spans="1:1" ht="15.75" customHeight="1" x14ac:dyDescent="0.35">
      <c r="A893" s="4"/>
    </row>
    <row r="894" spans="1:1" ht="15.75" customHeight="1" x14ac:dyDescent="0.35">
      <c r="A894" s="4"/>
    </row>
    <row r="895" spans="1:1" ht="15.75" customHeight="1" x14ac:dyDescent="0.35">
      <c r="A895" s="4"/>
    </row>
    <row r="896" spans="1:1" ht="15.75" customHeight="1" x14ac:dyDescent="0.35">
      <c r="A896" s="4"/>
    </row>
    <row r="897" spans="1:1" ht="15.75" customHeight="1" x14ac:dyDescent="0.35">
      <c r="A897" s="4"/>
    </row>
    <row r="898" spans="1:1" ht="15.75" customHeight="1" x14ac:dyDescent="0.35">
      <c r="A898" s="4"/>
    </row>
    <row r="899" spans="1:1" ht="15.75" customHeight="1" x14ac:dyDescent="0.35">
      <c r="A899" s="4"/>
    </row>
    <row r="900" spans="1:1" ht="15.75" customHeight="1" x14ac:dyDescent="0.35">
      <c r="A900" s="4"/>
    </row>
    <row r="901" spans="1:1" ht="15.75" customHeight="1" x14ac:dyDescent="0.35">
      <c r="A901" s="4"/>
    </row>
    <row r="902" spans="1:1" ht="15.75" customHeight="1" x14ac:dyDescent="0.35">
      <c r="A902" s="4"/>
    </row>
    <row r="903" spans="1:1" ht="15.75" customHeight="1" x14ac:dyDescent="0.35">
      <c r="A903" s="4"/>
    </row>
    <row r="904" spans="1:1" ht="15.75" customHeight="1" x14ac:dyDescent="0.35">
      <c r="A904" s="4"/>
    </row>
    <row r="905" spans="1:1" ht="15.75" customHeight="1" x14ac:dyDescent="0.35">
      <c r="A905" s="4"/>
    </row>
    <row r="906" spans="1:1" ht="15.75" customHeight="1" x14ac:dyDescent="0.35">
      <c r="A906" s="4"/>
    </row>
    <row r="907" spans="1:1" ht="15.75" customHeight="1" x14ac:dyDescent="0.35">
      <c r="A907" s="4"/>
    </row>
    <row r="908" spans="1:1" ht="15.75" customHeight="1" x14ac:dyDescent="0.35">
      <c r="A908" s="4"/>
    </row>
    <row r="909" spans="1:1" ht="15.75" customHeight="1" x14ac:dyDescent="0.35">
      <c r="A909" s="4"/>
    </row>
    <row r="910" spans="1:1" ht="15.75" customHeight="1" x14ac:dyDescent="0.35">
      <c r="A910" s="4"/>
    </row>
    <row r="911" spans="1:1" ht="15.75" customHeight="1" x14ac:dyDescent="0.35">
      <c r="A911" s="4"/>
    </row>
    <row r="912" spans="1:1" ht="15.75" customHeight="1" x14ac:dyDescent="0.35">
      <c r="A912" s="4"/>
    </row>
    <row r="913" spans="1:1" ht="15.75" customHeight="1" x14ac:dyDescent="0.35">
      <c r="A913" s="4"/>
    </row>
    <row r="914" spans="1:1" ht="15.75" customHeight="1" x14ac:dyDescent="0.35">
      <c r="A914" s="4"/>
    </row>
    <row r="915" spans="1:1" ht="15.75" customHeight="1" x14ac:dyDescent="0.35">
      <c r="A915" s="4"/>
    </row>
    <row r="916" spans="1:1" ht="15.75" customHeight="1" x14ac:dyDescent="0.35">
      <c r="A916" s="4"/>
    </row>
    <row r="917" spans="1:1" ht="15.75" customHeight="1" x14ac:dyDescent="0.35">
      <c r="A917" s="4"/>
    </row>
    <row r="918" spans="1:1" ht="15.75" customHeight="1" x14ac:dyDescent="0.35">
      <c r="A918" s="4"/>
    </row>
    <row r="919" spans="1:1" ht="15.75" customHeight="1" x14ac:dyDescent="0.35">
      <c r="A919" s="4"/>
    </row>
    <row r="920" spans="1:1" ht="15.75" customHeight="1" x14ac:dyDescent="0.35">
      <c r="A920" s="4"/>
    </row>
    <row r="921" spans="1:1" ht="15.75" customHeight="1" x14ac:dyDescent="0.35">
      <c r="A921" s="4"/>
    </row>
    <row r="922" spans="1:1" ht="15.75" customHeight="1" x14ac:dyDescent="0.35">
      <c r="A922" s="4"/>
    </row>
    <row r="923" spans="1:1" ht="15.75" customHeight="1" x14ac:dyDescent="0.35">
      <c r="A923" s="4"/>
    </row>
    <row r="924" spans="1:1" ht="15.75" customHeight="1" x14ac:dyDescent="0.35">
      <c r="A924" s="4"/>
    </row>
    <row r="925" spans="1:1" ht="15.75" customHeight="1" x14ac:dyDescent="0.35">
      <c r="A925" s="4"/>
    </row>
    <row r="926" spans="1:1" ht="15.75" customHeight="1" x14ac:dyDescent="0.35">
      <c r="A926" s="4"/>
    </row>
    <row r="927" spans="1:1" ht="15.75" customHeight="1" x14ac:dyDescent="0.35">
      <c r="A927" s="4"/>
    </row>
    <row r="928" spans="1:1" ht="15.75" customHeight="1" x14ac:dyDescent="0.35">
      <c r="A928" s="4"/>
    </row>
    <row r="929" spans="1:1" ht="15.75" customHeight="1" x14ac:dyDescent="0.35">
      <c r="A929" s="4"/>
    </row>
    <row r="930" spans="1:1" ht="15.75" customHeight="1" x14ac:dyDescent="0.35">
      <c r="A930" s="4"/>
    </row>
    <row r="931" spans="1:1" ht="15.75" customHeight="1" x14ac:dyDescent="0.35">
      <c r="A931" s="4"/>
    </row>
    <row r="932" spans="1:1" ht="15.75" customHeight="1" x14ac:dyDescent="0.35">
      <c r="A932" s="4"/>
    </row>
    <row r="933" spans="1:1" ht="15.75" customHeight="1" x14ac:dyDescent="0.35">
      <c r="A933" s="4"/>
    </row>
    <row r="934" spans="1:1" ht="15.75" customHeight="1" x14ac:dyDescent="0.35">
      <c r="A934" s="4"/>
    </row>
    <row r="935" spans="1:1" ht="15.75" customHeight="1" x14ac:dyDescent="0.35">
      <c r="A935" s="4"/>
    </row>
    <row r="936" spans="1:1" ht="15.75" customHeight="1" x14ac:dyDescent="0.35">
      <c r="A936" s="4"/>
    </row>
    <row r="937" spans="1:1" ht="15.75" customHeight="1" x14ac:dyDescent="0.35">
      <c r="A937" s="4"/>
    </row>
    <row r="938" spans="1:1" ht="15.75" customHeight="1" x14ac:dyDescent="0.35">
      <c r="A938" s="4"/>
    </row>
    <row r="939" spans="1:1" ht="15.75" customHeight="1" x14ac:dyDescent="0.35">
      <c r="A939" s="4"/>
    </row>
    <row r="940" spans="1:1" ht="15.75" customHeight="1" x14ac:dyDescent="0.35">
      <c r="A940" s="4"/>
    </row>
    <row r="941" spans="1:1" ht="15.75" customHeight="1" x14ac:dyDescent="0.35">
      <c r="A941" s="4"/>
    </row>
    <row r="942" spans="1:1" ht="15.75" customHeight="1" x14ac:dyDescent="0.35">
      <c r="A942" s="4"/>
    </row>
    <row r="943" spans="1:1" ht="15.75" customHeight="1" x14ac:dyDescent="0.35">
      <c r="A943" s="4"/>
    </row>
    <row r="944" spans="1:1" ht="15.75" customHeight="1" x14ac:dyDescent="0.35">
      <c r="A944" s="4"/>
    </row>
    <row r="945" spans="1:1" ht="15.75" customHeight="1" x14ac:dyDescent="0.35">
      <c r="A945" s="4"/>
    </row>
    <row r="946" spans="1:1" ht="15.75" customHeight="1" x14ac:dyDescent="0.35">
      <c r="A946" s="4"/>
    </row>
    <row r="947" spans="1:1" ht="15.75" customHeight="1" x14ac:dyDescent="0.35">
      <c r="A947" s="4"/>
    </row>
    <row r="948" spans="1:1" ht="15.75" customHeight="1" x14ac:dyDescent="0.35">
      <c r="A948" s="4"/>
    </row>
    <row r="949" spans="1:1" ht="15.75" customHeight="1" x14ac:dyDescent="0.35">
      <c r="A949" s="4"/>
    </row>
    <row r="950" spans="1:1" ht="15.75" customHeight="1" x14ac:dyDescent="0.35">
      <c r="A950" s="4"/>
    </row>
    <row r="951" spans="1:1" ht="15.75" customHeight="1" x14ac:dyDescent="0.35">
      <c r="A951" s="4"/>
    </row>
    <row r="952" spans="1:1" ht="15.75" customHeight="1" x14ac:dyDescent="0.35">
      <c r="A952" s="4"/>
    </row>
    <row r="953" spans="1:1" ht="15.75" customHeight="1" x14ac:dyDescent="0.35">
      <c r="A953" s="4"/>
    </row>
    <row r="954" spans="1:1" ht="15.75" customHeight="1" x14ac:dyDescent="0.35">
      <c r="A954" s="4"/>
    </row>
    <row r="955" spans="1:1" ht="15.75" customHeight="1" x14ac:dyDescent="0.35">
      <c r="A955" s="4"/>
    </row>
    <row r="956" spans="1:1" ht="15.75" customHeight="1" x14ac:dyDescent="0.35">
      <c r="A956" s="4"/>
    </row>
    <row r="957" spans="1:1" ht="15.75" customHeight="1" x14ac:dyDescent="0.35">
      <c r="A957" s="4"/>
    </row>
    <row r="958" spans="1:1" ht="15.75" customHeight="1" x14ac:dyDescent="0.35">
      <c r="A958" s="4"/>
    </row>
    <row r="959" spans="1:1" ht="15.75" customHeight="1" x14ac:dyDescent="0.35">
      <c r="A959" s="4"/>
    </row>
    <row r="960" spans="1:1" ht="15.75" customHeight="1" x14ac:dyDescent="0.35">
      <c r="A960" s="4"/>
    </row>
    <row r="961" spans="1:1" ht="15.75" customHeight="1" x14ac:dyDescent="0.35">
      <c r="A961" s="4"/>
    </row>
    <row r="962" spans="1:1" ht="15.75" customHeight="1" x14ac:dyDescent="0.35">
      <c r="A962" s="4"/>
    </row>
    <row r="963" spans="1:1" ht="15.75" customHeight="1" x14ac:dyDescent="0.35">
      <c r="A963" s="4"/>
    </row>
    <row r="964" spans="1:1" ht="15.75" customHeight="1" x14ac:dyDescent="0.35">
      <c r="A964" s="4"/>
    </row>
    <row r="965" spans="1:1" ht="15.75" customHeight="1" x14ac:dyDescent="0.35">
      <c r="A965" s="4"/>
    </row>
    <row r="966" spans="1:1" ht="15.75" customHeight="1" x14ac:dyDescent="0.35">
      <c r="A966" s="4"/>
    </row>
    <row r="967" spans="1:1" ht="15.75" customHeight="1" x14ac:dyDescent="0.35">
      <c r="A967" s="4"/>
    </row>
    <row r="968" spans="1:1" ht="15.75" customHeight="1" x14ac:dyDescent="0.35">
      <c r="A968" s="4"/>
    </row>
    <row r="969" spans="1:1" ht="15.75" customHeight="1" x14ac:dyDescent="0.35">
      <c r="A969" s="4"/>
    </row>
    <row r="970" spans="1:1" ht="15.75" customHeight="1" x14ac:dyDescent="0.35">
      <c r="A970" s="4"/>
    </row>
    <row r="971" spans="1:1" ht="15.75" customHeight="1" x14ac:dyDescent="0.35">
      <c r="A971" s="4"/>
    </row>
    <row r="972" spans="1:1" ht="15.75" customHeight="1" x14ac:dyDescent="0.35">
      <c r="A972" s="4"/>
    </row>
    <row r="973" spans="1:1" ht="15.75" customHeight="1" x14ac:dyDescent="0.35">
      <c r="A973" s="4"/>
    </row>
    <row r="974" spans="1:1" ht="15.75" customHeight="1" x14ac:dyDescent="0.35">
      <c r="A974" s="4"/>
    </row>
    <row r="975" spans="1:1" ht="15.75" customHeight="1" x14ac:dyDescent="0.35">
      <c r="A975" s="4"/>
    </row>
    <row r="976" spans="1:1" ht="15.75" customHeight="1" x14ac:dyDescent="0.35">
      <c r="A976" s="4"/>
    </row>
    <row r="977" spans="1:1" ht="15.75" customHeight="1" x14ac:dyDescent="0.35">
      <c r="A977" s="4"/>
    </row>
    <row r="978" spans="1:1" ht="15.75" customHeight="1" x14ac:dyDescent="0.35">
      <c r="A978" s="4"/>
    </row>
    <row r="979" spans="1:1" ht="15.75" customHeight="1" x14ac:dyDescent="0.35">
      <c r="A979" s="4"/>
    </row>
    <row r="980" spans="1:1" ht="15.75" customHeight="1" x14ac:dyDescent="0.35">
      <c r="A980" s="4"/>
    </row>
    <row r="981" spans="1:1" ht="15.75" customHeight="1" x14ac:dyDescent="0.35">
      <c r="A981" s="4"/>
    </row>
    <row r="982" spans="1:1" ht="15.75" customHeight="1" x14ac:dyDescent="0.35">
      <c r="A982" s="4"/>
    </row>
    <row r="983" spans="1:1" ht="15.75" customHeight="1" x14ac:dyDescent="0.35">
      <c r="A983" s="4"/>
    </row>
    <row r="984" spans="1:1" ht="15.75" customHeight="1" x14ac:dyDescent="0.35">
      <c r="A984" s="4"/>
    </row>
    <row r="985" spans="1:1" ht="15.75" customHeight="1" x14ac:dyDescent="0.35">
      <c r="A985" s="4"/>
    </row>
    <row r="986" spans="1:1" ht="15.75" customHeight="1" x14ac:dyDescent="0.35">
      <c r="A986" s="4"/>
    </row>
    <row r="987" spans="1:1" ht="15.75" customHeight="1" x14ac:dyDescent="0.35">
      <c r="A987" s="4"/>
    </row>
    <row r="988" spans="1:1" ht="15.75" customHeight="1" x14ac:dyDescent="0.35">
      <c r="A988" s="4"/>
    </row>
    <row r="989" spans="1:1" ht="15.75" customHeight="1" x14ac:dyDescent="0.35">
      <c r="A989" s="4"/>
    </row>
    <row r="990" spans="1:1" ht="15.75" customHeight="1" x14ac:dyDescent="0.35">
      <c r="A990" s="4"/>
    </row>
    <row r="991" spans="1:1" ht="15.75" customHeight="1" x14ac:dyDescent="0.35">
      <c r="A991" s="4"/>
    </row>
    <row r="992" spans="1:1" ht="15.75" customHeight="1" x14ac:dyDescent="0.35">
      <c r="A992" s="4"/>
    </row>
    <row r="993" spans="1:1" ht="15.75" customHeight="1" x14ac:dyDescent="0.35">
      <c r="A993" s="4"/>
    </row>
    <row r="994" spans="1:1" ht="15.75" customHeight="1" x14ac:dyDescent="0.35">
      <c r="A994" s="4"/>
    </row>
    <row r="995" spans="1:1" ht="15.75" customHeight="1" x14ac:dyDescent="0.35">
      <c r="A995" s="4"/>
    </row>
    <row r="996" spans="1:1" ht="15.75" customHeight="1" x14ac:dyDescent="0.35">
      <c r="A996" s="4"/>
    </row>
    <row r="997" spans="1:1" ht="15.75" customHeight="1" x14ac:dyDescent="0.35">
      <c r="A997" s="4"/>
    </row>
    <row r="998" spans="1:1" ht="15.75" customHeight="1" x14ac:dyDescent="0.35">
      <c r="A998" s="4"/>
    </row>
    <row r="999" spans="1:1" ht="15.75" customHeight="1" x14ac:dyDescent="0.35">
      <c r="A999" s="4"/>
    </row>
    <row r="1000" spans="1:1" ht="15.75" customHeight="1" x14ac:dyDescent="0.35">
      <c r="A1000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4.453125" defaultRowHeight="15" customHeight="1" x14ac:dyDescent="0.35"/>
  <cols>
    <col min="1" max="1" width="58" customWidth="1"/>
    <col min="2" max="6" width="13" customWidth="1"/>
    <col min="7" max="7" width="70" customWidth="1"/>
    <col min="8" max="26" width="8.7265625" customWidth="1"/>
  </cols>
  <sheetData>
    <row r="1" spans="1:7" ht="17.25" customHeight="1" x14ac:dyDescent="0.4">
      <c r="A1" s="1" t="s">
        <v>1</v>
      </c>
      <c r="B1" s="3"/>
      <c r="C1" s="3"/>
      <c r="D1" s="3"/>
      <c r="E1" s="3"/>
      <c r="F1" s="3"/>
      <c r="G1" s="3"/>
    </row>
    <row r="2" spans="1:7" ht="15" customHeight="1" x14ac:dyDescent="0.35">
      <c r="A2" s="5" t="s">
        <v>7</v>
      </c>
      <c r="B2" s="3"/>
      <c r="C2" s="3"/>
      <c r="D2" s="3"/>
      <c r="E2" s="3"/>
      <c r="F2" s="3"/>
      <c r="G2" s="3"/>
    </row>
    <row r="3" spans="1:7" ht="15" customHeight="1" x14ac:dyDescent="0.35">
      <c r="A3" s="3"/>
      <c r="B3" s="3"/>
      <c r="C3" s="3"/>
      <c r="D3" s="3"/>
      <c r="E3" s="3"/>
      <c r="F3" s="3"/>
      <c r="G3" s="3"/>
    </row>
    <row r="4" spans="1:7" ht="15" customHeight="1" x14ac:dyDescent="0.35">
      <c r="A4" s="7" t="s">
        <v>18</v>
      </c>
      <c r="B4" s="8"/>
      <c r="C4" s="8"/>
      <c r="D4" s="8"/>
      <c r="E4" s="8"/>
      <c r="F4" s="8"/>
      <c r="G4" s="8"/>
    </row>
    <row r="5" spans="1:7" ht="15" customHeight="1" x14ac:dyDescent="0.35">
      <c r="A5" s="3"/>
      <c r="B5" s="3"/>
      <c r="C5" s="3"/>
      <c r="D5" s="3"/>
      <c r="E5" s="3"/>
      <c r="F5" s="3"/>
      <c r="G5" s="3"/>
    </row>
    <row r="6" spans="1:7" ht="15" customHeight="1" x14ac:dyDescent="0.35">
      <c r="A6" s="3" t="s">
        <v>46</v>
      </c>
      <c r="B6" s="9">
        <v>1</v>
      </c>
      <c r="C6" s="3"/>
      <c r="D6" s="3"/>
      <c r="E6" s="3"/>
      <c r="F6" s="3"/>
      <c r="G6" s="10" t="s">
        <v>61</v>
      </c>
    </row>
    <row r="7" spans="1:7" ht="15" customHeight="1" x14ac:dyDescent="0.35">
      <c r="A7" s="3" t="s">
        <v>64</v>
      </c>
      <c r="B7" s="13">
        <v>0.02</v>
      </c>
      <c r="C7" s="3"/>
      <c r="D7" s="3"/>
      <c r="E7" s="3"/>
      <c r="F7" s="3"/>
      <c r="G7" s="10" t="s">
        <v>70</v>
      </c>
    </row>
    <row r="8" spans="1:7" ht="15" customHeight="1" x14ac:dyDescent="0.35">
      <c r="A8" s="3" t="s">
        <v>72</v>
      </c>
      <c r="B8" s="9">
        <v>1</v>
      </c>
      <c r="C8" s="3"/>
      <c r="D8" s="3"/>
      <c r="E8" s="3"/>
      <c r="F8" s="3"/>
      <c r="G8" s="10" t="s">
        <v>78</v>
      </c>
    </row>
    <row r="9" spans="1:7" ht="15" customHeight="1" x14ac:dyDescent="0.35">
      <c r="A9" s="3"/>
      <c r="B9" s="3"/>
      <c r="C9" s="3"/>
      <c r="D9" s="3"/>
      <c r="E9" s="3"/>
      <c r="F9" s="3"/>
      <c r="G9" s="3"/>
    </row>
    <row r="10" spans="1:7" ht="15" customHeight="1" x14ac:dyDescent="0.35">
      <c r="A10" s="7" t="s">
        <v>82</v>
      </c>
      <c r="B10" s="8"/>
      <c r="C10" s="8"/>
      <c r="D10" s="8"/>
      <c r="E10" s="8"/>
      <c r="F10" s="8"/>
      <c r="G10" s="8"/>
    </row>
    <row r="11" spans="1:7" ht="15" customHeight="1" x14ac:dyDescent="0.35">
      <c r="A11" s="3" t="s">
        <v>83</v>
      </c>
      <c r="B11" s="15">
        <v>15</v>
      </c>
      <c r="C11" s="3"/>
      <c r="D11" s="3"/>
      <c r="E11" s="3"/>
      <c r="F11" s="3"/>
      <c r="G11" s="10" t="s">
        <v>86</v>
      </c>
    </row>
    <row r="12" spans="1:7" ht="15" customHeight="1" x14ac:dyDescent="0.35">
      <c r="A12" s="3" t="s">
        <v>87</v>
      </c>
      <c r="B12" s="15">
        <v>29</v>
      </c>
      <c r="C12" s="3"/>
      <c r="D12" s="3"/>
      <c r="E12" s="3"/>
      <c r="F12" s="3"/>
      <c r="G12" s="10" t="s">
        <v>86</v>
      </c>
    </row>
    <row r="13" spans="1:7" ht="15" customHeight="1" x14ac:dyDescent="0.35">
      <c r="A13" s="3" t="s">
        <v>89</v>
      </c>
      <c r="B13" s="16">
        <v>7</v>
      </c>
      <c r="C13" s="3"/>
      <c r="D13" s="3"/>
      <c r="E13" s="3"/>
      <c r="F13" s="3"/>
      <c r="G13" s="10" t="s">
        <v>92</v>
      </c>
    </row>
    <row r="14" spans="1:7" ht="15" customHeight="1" x14ac:dyDescent="0.35">
      <c r="A14" s="3" t="s">
        <v>93</v>
      </c>
      <c r="B14" s="16">
        <v>4</v>
      </c>
      <c r="C14" s="3"/>
      <c r="D14" s="3"/>
      <c r="E14" s="3"/>
      <c r="F14" s="3"/>
      <c r="G14" s="3"/>
    </row>
    <row r="15" spans="1:7" ht="15" customHeight="1" x14ac:dyDescent="0.35">
      <c r="A15" s="3" t="s">
        <v>95</v>
      </c>
      <c r="B15" s="16">
        <v>13</v>
      </c>
      <c r="C15" s="3"/>
      <c r="D15" s="3"/>
      <c r="E15" s="3"/>
      <c r="F15" s="3"/>
      <c r="G15" s="10" t="s">
        <v>97</v>
      </c>
    </row>
    <row r="16" spans="1:7" ht="15" customHeight="1" x14ac:dyDescent="0.35">
      <c r="A16" s="3" t="s">
        <v>98</v>
      </c>
      <c r="B16" s="17">
        <v>0.2</v>
      </c>
      <c r="C16" s="3"/>
      <c r="D16" s="3"/>
      <c r="E16" s="3"/>
      <c r="F16" s="3"/>
      <c r="G16" s="10" t="s">
        <v>99</v>
      </c>
    </row>
    <row r="17" spans="1:7" ht="15" customHeight="1" x14ac:dyDescent="0.35">
      <c r="A17" s="3" t="s">
        <v>100</v>
      </c>
      <c r="B17" s="17">
        <v>0.32</v>
      </c>
      <c r="C17" s="3"/>
      <c r="D17" s="3"/>
      <c r="E17" s="3"/>
      <c r="F17" s="3"/>
      <c r="G17" s="10" t="s">
        <v>101</v>
      </c>
    </row>
    <row r="18" spans="1:7" ht="15" customHeight="1" x14ac:dyDescent="0.35">
      <c r="A18" s="3" t="s">
        <v>102</v>
      </c>
      <c r="B18" s="15">
        <v>0.1</v>
      </c>
      <c r="C18" s="3"/>
      <c r="D18" s="3"/>
      <c r="E18" s="3"/>
      <c r="F18" s="3"/>
      <c r="G18" s="10" t="s">
        <v>104</v>
      </c>
    </row>
    <row r="19" spans="1:7" ht="15" customHeight="1" x14ac:dyDescent="0.35">
      <c r="A19" s="3" t="s">
        <v>105</v>
      </c>
      <c r="B19" s="17">
        <v>1.4999999999999999E-2</v>
      </c>
      <c r="C19" s="3"/>
      <c r="D19" s="3"/>
      <c r="E19" s="3"/>
      <c r="F19" s="3"/>
      <c r="G19" s="10" t="s">
        <v>107</v>
      </c>
    </row>
    <row r="20" spans="1:7" ht="15" customHeight="1" x14ac:dyDescent="0.35">
      <c r="A20" s="3" t="s">
        <v>108</v>
      </c>
      <c r="B20" s="12">
        <v>4500</v>
      </c>
      <c r="C20" s="3"/>
      <c r="D20" s="3"/>
      <c r="E20" s="3"/>
      <c r="F20" s="3"/>
      <c r="G20" s="3"/>
    </row>
    <row r="21" spans="1:7" ht="15" customHeight="1" x14ac:dyDescent="0.35">
      <c r="A21" s="3" t="s">
        <v>111</v>
      </c>
      <c r="B21" s="16">
        <v>36</v>
      </c>
      <c r="C21" s="3"/>
      <c r="D21" s="3"/>
      <c r="E21" s="3"/>
      <c r="F21" s="3"/>
      <c r="G21" s="10" t="s">
        <v>112</v>
      </c>
    </row>
    <row r="22" spans="1:7" ht="15" customHeight="1" x14ac:dyDescent="0.35">
      <c r="A22" s="3" t="s">
        <v>113</v>
      </c>
      <c r="B22" s="17">
        <v>0.15</v>
      </c>
      <c r="C22" s="3"/>
      <c r="D22" s="3"/>
      <c r="E22" s="3"/>
      <c r="F22" s="3"/>
      <c r="G22" s="10" t="s">
        <v>115</v>
      </c>
    </row>
    <row r="23" spans="1:7" ht="15" customHeight="1" x14ac:dyDescent="0.35">
      <c r="A23" s="3" t="s">
        <v>117</v>
      </c>
      <c r="B23" s="17">
        <v>0.25</v>
      </c>
      <c r="C23" s="3"/>
      <c r="D23" s="3"/>
      <c r="E23" s="3"/>
      <c r="F23" s="3"/>
      <c r="G23" s="3"/>
    </row>
    <row r="24" spans="1:7" ht="15" customHeight="1" x14ac:dyDescent="0.35">
      <c r="A24" s="3"/>
      <c r="B24" s="3"/>
      <c r="C24" s="3"/>
      <c r="D24" s="3"/>
      <c r="E24" s="3"/>
      <c r="F24" s="3"/>
      <c r="G24" s="3"/>
    </row>
    <row r="25" spans="1:7" ht="15" customHeight="1" x14ac:dyDescent="0.35">
      <c r="A25" s="7" t="s">
        <v>119</v>
      </c>
      <c r="B25" s="8"/>
      <c r="C25" s="8"/>
      <c r="D25" s="8"/>
      <c r="E25" s="8"/>
      <c r="F25" s="8"/>
      <c r="G25" s="8"/>
    </row>
    <row r="26" spans="1:7" ht="15" customHeight="1" x14ac:dyDescent="0.35">
      <c r="A26" s="6" t="s">
        <v>121</v>
      </c>
      <c r="B26" s="6" t="s">
        <v>41</v>
      </c>
      <c r="C26" s="6" t="s">
        <v>43</v>
      </c>
      <c r="D26" s="6" t="s">
        <v>45</v>
      </c>
      <c r="E26" s="6" t="s">
        <v>48</v>
      </c>
      <c r="F26" s="6" t="s">
        <v>50</v>
      </c>
      <c r="G26" s="6" t="s">
        <v>125</v>
      </c>
    </row>
    <row r="27" spans="1:7" ht="15" customHeight="1" x14ac:dyDescent="0.35">
      <c r="A27" s="3" t="s">
        <v>126</v>
      </c>
      <c r="B27" s="19">
        <v>2</v>
      </c>
      <c r="C27" s="19">
        <v>4</v>
      </c>
      <c r="D27" s="19">
        <v>6</v>
      </c>
      <c r="E27" s="19">
        <v>8</v>
      </c>
      <c r="F27" s="19">
        <v>9</v>
      </c>
      <c r="G27" s="10" t="s">
        <v>128</v>
      </c>
    </row>
    <row r="28" spans="1:7" ht="15" customHeight="1" x14ac:dyDescent="0.35">
      <c r="A28" s="3" t="s">
        <v>129</v>
      </c>
      <c r="B28" s="20">
        <v>13</v>
      </c>
      <c r="C28" s="20">
        <v>16</v>
      </c>
      <c r="D28" s="20">
        <v>18</v>
      </c>
      <c r="E28" s="20">
        <v>19</v>
      </c>
      <c r="F28" s="20">
        <v>19</v>
      </c>
      <c r="G28" s="10" t="s">
        <v>132</v>
      </c>
    </row>
    <row r="29" spans="1:7" ht="15" customHeight="1" x14ac:dyDescent="0.35">
      <c r="A29" s="3" t="s">
        <v>133</v>
      </c>
      <c r="B29" s="13">
        <v>0.25</v>
      </c>
      <c r="C29" s="13">
        <v>0.3</v>
      </c>
      <c r="D29" s="13">
        <v>0.38</v>
      </c>
      <c r="E29" s="13">
        <v>0.45</v>
      </c>
      <c r="F29" s="13">
        <v>0.5</v>
      </c>
      <c r="G29" s="10" t="s">
        <v>134</v>
      </c>
    </row>
    <row r="30" spans="1:7" ht="15" customHeight="1" x14ac:dyDescent="0.35">
      <c r="A30" s="3" t="s">
        <v>135</v>
      </c>
      <c r="B30" s="17">
        <v>0.2</v>
      </c>
      <c r="C30" s="17">
        <v>0.1</v>
      </c>
      <c r="D30" s="17">
        <v>0.1</v>
      </c>
      <c r="E30" s="17">
        <v>0.1</v>
      </c>
      <c r="F30" s="17">
        <v>0.1</v>
      </c>
      <c r="G30" s="10" t="s">
        <v>137</v>
      </c>
    </row>
    <row r="31" spans="1:7" ht="15" customHeight="1" x14ac:dyDescent="0.35">
      <c r="A31" s="3" t="s">
        <v>138</v>
      </c>
      <c r="B31" s="21">
        <v>0</v>
      </c>
      <c r="C31" s="21">
        <v>30</v>
      </c>
      <c r="D31" s="21">
        <v>45</v>
      </c>
      <c r="E31" s="21">
        <v>55</v>
      </c>
      <c r="F31" s="21">
        <v>60</v>
      </c>
      <c r="G31" s="10" t="s">
        <v>140</v>
      </c>
    </row>
    <row r="32" spans="1:7" ht="15" customHeight="1" x14ac:dyDescent="0.35">
      <c r="A32" s="3" t="s">
        <v>141</v>
      </c>
      <c r="B32" s="22">
        <v>1</v>
      </c>
      <c r="C32" s="22">
        <v>1</v>
      </c>
      <c r="D32" s="22">
        <v>1.2</v>
      </c>
      <c r="E32" s="22">
        <v>1.35</v>
      </c>
      <c r="F32" s="22">
        <v>1.5</v>
      </c>
      <c r="G32" s="10" t="s">
        <v>143</v>
      </c>
    </row>
    <row r="33" spans="1:7" ht="15" customHeight="1" x14ac:dyDescent="0.35">
      <c r="A33" s="3" t="s">
        <v>144</v>
      </c>
      <c r="B33" s="21">
        <v>200</v>
      </c>
      <c r="C33" s="21">
        <v>200</v>
      </c>
      <c r="D33" s="21">
        <v>200</v>
      </c>
      <c r="E33" s="21">
        <v>200</v>
      </c>
      <c r="F33" s="21">
        <v>200</v>
      </c>
      <c r="G33" s="10" t="s">
        <v>145</v>
      </c>
    </row>
    <row r="34" spans="1:7" ht="15" customHeight="1" x14ac:dyDescent="0.35">
      <c r="A34" s="3" t="s">
        <v>146</v>
      </c>
      <c r="B34" s="12">
        <v>0</v>
      </c>
      <c r="C34" s="12">
        <v>800</v>
      </c>
      <c r="D34" s="12">
        <v>800</v>
      </c>
      <c r="E34" s="12">
        <v>800</v>
      </c>
      <c r="F34" s="12">
        <v>800</v>
      </c>
      <c r="G34" s="10" t="s">
        <v>147</v>
      </c>
    </row>
    <row r="35" spans="1:7" ht="15" customHeight="1" x14ac:dyDescent="0.35">
      <c r="A35" s="3" t="s">
        <v>148</v>
      </c>
      <c r="B35" s="17">
        <v>0</v>
      </c>
      <c r="C35" s="17">
        <v>0</v>
      </c>
      <c r="D35" s="17">
        <v>0.04</v>
      </c>
      <c r="E35" s="17">
        <v>0.04</v>
      </c>
      <c r="F35" s="17">
        <v>0.04</v>
      </c>
      <c r="G35" s="3"/>
    </row>
    <row r="36" spans="1:7" ht="15" customHeight="1" x14ac:dyDescent="0.35">
      <c r="A36" s="3" t="s">
        <v>149</v>
      </c>
      <c r="B36" s="12">
        <v>150</v>
      </c>
      <c r="C36" s="12">
        <v>400</v>
      </c>
      <c r="D36" s="12">
        <v>800</v>
      </c>
      <c r="E36" s="12">
        <v>1400</v>
      </c>
      <c r="F36" s="12">
        <v>2200</v>
      </c>
      <c r="G36" s="10" t="s">
        <v>150</v>
      </c>
    </row>
    <row r="37" spans="1:7" ht="15" customHeight="1" x14ac:dyDescent="0.35">
      <c r="A37" s="3" t="s">
        <v>151</v>
      </c>
      <c r="B37" s="12">
        <v>820</v>
      </c>
      <c r="C37" s="12">
        <v>920</v>
      </c>
      <c r="D37" s="12">
        <v>1120</v>
      </c>
      <c r="E37" s="12">
        <v>1420</v>
      </c>
      <c r="F37" s="12">
        <v>1720</v>
      </c>
      <c r="G37" s="10" t="s">
        <v>152</v>
      </c>
    </row>
    <row r="38" spans="1:7" ht="15" customHeight="1" x14ac:dyDescent="0.35">
      <c r="A38" s="3"/>
      <c r="B38" s="3"/>
      <c r="C38" s="3"/>
      <c r="D38" s="3"/>
      <c r="E38" s="3"/>
      <c r="F38" s="3"/>
      <c r="G38" s="3"/>
    </row>
    <row r="39" spans="1:7" ht="15" customHeight="1" x14ac:dyDescent="0.35">
      <c r="A39" s="7" t="s">
        <v>153</v>
      </c>
      <c r="B39" s="8"/>
      <c r="C39" s="8"/>
      <c r="D39" s="8"/>
      <c r="E39" s="8"/>
      <c r="F39" s="8"/>
      <c r="G39" s="8"/>
    </row>
    <row r="40" spans="1:7" ht="15" customHeight="1" x14ac:dyDescent="0.35">
      <c r="A40" s="6" t="s">
        <v>121</v>
      </c>
      <c r="B40" s="6" t="s">
        <v>4</v>
      </c>
      <c r="C40" s="6" t="s">
        <v>154</v>
      </c>
      <c r="D40" s="6"/>
      <c r="E40" s="6"/>
      <c r="F40" s="6"/>
      <c r="G40" s="6" t="s">
        <v>125</v>
      </c>
    </row>
    <row r="41" spans="1:7" ht="15" customHeight="1" x14ac:dyDescent="0.35">
      <c r="A41" s="3" t="s">
        <v>155</v>
      </c>
      <c r="B41" s="11">
        <v>1</v>
      </c>
      <c r="C41" s="24">
        <v>5200</v>
      </c>
      <c r="D41" s="3"/>
      <c r="E41" s="3"/>
      <c r="F41" s="3"/>
      <c r="G41" s="3" t="s">
        <v>156</v>
      </c>
    </row>
    <row r="42" spans="1:7" ht="15" customHeight="1" x14ac:dyDescent="0.35">
      <c r="A42" s="3" t="s">
        <v>157</v>
      </c>
      <c r="B42" s="11">
        <v>13</v>
      </c>
      <c r="C42" s="12">
        <v>2000</v>
      </c>
      <c r="D42" s="3"/>
      <c r="E42" s="3"/>
      <c r="F42" s="3"/>
      <c r="G42" s="3"/>
    </row>
    <row r="43" spans="1:7" ht="15" customHeight="1" x14ac:dyDescent="0.35">
      <c r="A43" s="3" t="s">
        <v>158</v>
      </c>
      <c r="B43" s="11">
        <v>37</v>
      </c>
      <c r="C43" s="12">
        <v>3000</v>
      </c>
      <c r="D43" s="3"/>
      <c r="E43" s="3"/>
      <c r="F43" s="3"/>
      <c r="G43" s="3"/>
    </row>
    <row r="44" spans="1:7" ht="15" customHeight="1" x14ac:dyDescent="0.35">
      <c r="A44" s="3"/>
      <c r="B44" s="3"/>
      <c r="C44" s="3"/>
      <c r="D44" s="3"/>
      <c r="E44" s="3"/>
      <c r="F44" s="3"/>
      <c r="G44" s="3"/>
    </row>
    <row r="45" spans="1:7" ht="15" customHeight="1" x14ac:dyDescent="0.35">
      <c r="A45" s="3" t="s">
        <v>159</v>
      </c>
      <c r="B45" s="27">
        <v>1</v>
      </c>
      <c r="C45" s="28">
        <v>6000</v>
      </c>
      <c r="D45" s="3"/>
      <c r="E45" s="3"/>
      <c r="F45" s="3"/>
      <c r="G45" s="3"/>
    </row>
    <row r="46" spans="1:7" ht="15" customHeight="1" x14ac:dyDescent="0.35">
      <c r="A46" s="3" t="s">
        <v>160</v>
      </c>
      <c r="B46" s="11">
        <v>36</v>
      </c>
      <c r="C46" s="12">
        <v>6000</v>
      </c>
      <c r="D46" s="3"/>
      <c r="E46" s="3"/>
      <c r="F46" s="3"/>
      <c r="G46" s="3"/>
    </row>
    <row r="47" spans="1:7" ht="13.5" customHeight="1" x14ac:dyDescent="0.35">
      <c r="A47" s="3" t="s">
        <v>161</v>
      </c>
      <c r="B47" s="11"/>
      <c r="C47" s="12"/>
      <c r="D47" s="3"/>
      <c r="E47" s="3"/>
      <c r="F47" s="3"/>
      <c r="G47" s="3"/>
    </row>
    <row r="48" spans="1:7" ht="15" customHeight="1" x14ac:dyDescent="0.35">
      <c r="A48" s="3"/>
      <c r="B48" s="3"/>
      <c r="C48" s="3"/>
      <c r="D48" s="3"/>
      <c r="E48" s="3"/>
      <c r="F48" s="3"/>
      <c r="G48" s="3"/>
    </row>
    <row r="49" spans="1:7" ht="15" customHeight="1" x14ac:dyDescent="0.35">
      <c r="A49" s="7" t="s">
        <v>162</v>
      </c>
      <c r="B49" s="8"/>
      <c r="C49" s="8"/>
      <c r="D49" s="8"/>
      <c r="E49" s="8"/>
      <c r="F49" s="8"/>
      <c r="G49" s="8"/>
    </row>
    <row r="50" spans="1:7" ht="15" customHeight="1" x14ac:dyDescent="0.35">
      <c r="A50" s="3" t="s">
        <v>163</v>
      </c>
      <c r="B50" s="12">
        <v>30000</v>
      </c>
      <c r="C50" s="3"/>
      <c r="D50" s="3"/>
      <c r="E50" s="3"/>
      <c r="F50" s="3"/>
      <c r="G50" s="3"/>
    </row>
    <row r="51" spans="1:7" ht="15" customHeight="1" x14ac:dyDescent="0.35">
      <c r="A51" s="3" t="s">
        <v>164</v>
      </c>
      <c r="B51" s="12">
        <v>30000</v>
      </c>
      <c r="C51" s="3"/>
      <c r="D51" s="3"/>
      <c r="E51" s="3"/>
      <c r="F51" s="3"/>
      <c r="G51" s="10" t="s">
        <v>165</v>
      </c>
    </row>
    <row r="52" spans="1:7" ht="15" customHeight="1" x14ac:dyDescent="0.35">
      <c r="A52" s="3" t="s">
        <v>166</v>
      </c>
      <c r="B52" s="16">
        <v>3</v>
      </c>
      <c r="C52" s="3"/>
      <c r="D52" s="3"/>
      <c r="E52" s="3"/>
      <c r="F52" s="3"/>
      <c r="G52" s="3"/>
    </row>
    <row r="53" spans="1:7" ht="15" customHeight="1" x14ac:dyDescent="0.35">
      <c r="A53" s="3" t="s">
        <v>167</v>
      </c>
      <c r="B53" s="17">
        <v>0.04</v>
      </c>
      <c r="C53" s="3"/>
      <c r="D53" s="3"/>
      <c r="E53" s="3"/>
      <c r="F53" s="3"/>
      <c r="G53" s="10" t="s">
        <v>168</v>
      </c>
    </row>
    <row r="54" spans="1:7" ht="15" customHeight="1" x14ac:dyDescent="0.35">
      <c r="A54" s="3" t="s">
        <v>169</v>
      </c>
      <c r="B54" s="16">
        <v>34</v>
      </c>
      <c r="C54" s="3"/>
      <c r="D54" s="3"/>
      <c r="E54" s="3"/>
      <c r="F54" s="3"/>
      <c r="G54" s="10" t="s">
        <v>170</v>
      </c>
    </row>
    <row r="55" spans="1:7" ht="15" customHeight="1" x14ac:dyDescent="0.35">
      <c r="A55" s="3" t="s">
        <v>171</v>
      </c>
      <c r="B55" s="16">
        <v>24</v>
      </c>
      <c r="C55" s="3"/>
      <c r="D55" s="3"/>
      <c r="E55" s="3"/>
      <c r="F55" s="3"/>
      <c r="G55" s="3"/>
    </row>
    <row r="56" spans="1:7" ht="15" customHeight="1" x14ac:dyDescent="0.35">
      <c r="A56" s="3" t="s">
        <v>172</v>
      </c>
      <c r="B56" s="21">
        <v>175000</v>
      </c>
      <c r="C56" s="3"/>
      <c r="D56" s="3"/>
      <c r="E56" s="3"/>
      <c r="F56" s="3"/>
      <c r="G56" s="10" t="s">
        <v>173</v>
      </c>
    </row>
    <row r="57" spans="1:7" ht="15" customHeight="1" x14ac:dyDescent="0.35">
      <c r="A57" s="3" t="s">
        <v>174</v>
      </c>
      <c r="B57" s="16">
        <v>10</v>
      </c>
      <c r="C57" s="3"/>
      <c r="D57" s="3"/>
      <c r="E57" s="3"/>
      <c r="F57" s="3"/>
      <c r="G57" s="3"/>
    </row>
    <row r="58" spans="1:7" ht="15" customHeight="1" x14ac:dyDescent="0.35">
      <c r="A58" s="3"/>
      <c r="B58" s="3"/>
      <c r="C58" s="3"/>
      <c r="D58" s="3"/>
      <c r="E58" s="3"/>
      <c r="F58" s="3"/>
      <c r="G58" s="3"/>
    </row>
    <row r="59" spans="1:7" ht="15" customHeight="1" x14ac:dyDescent="0.35">
      <c r="A59" s="7" t="s">
        <v>175</v>
      </c>
      <c r="B59" s="8"/>
      <c r="C59" s="8"/>
      <c r="D59" s="8"/>
      <c r="E59" s="8"/>
      <c r="F59" s="8"/>
      <c r="G59" s="8"/>
    </row>
    <row r="60" spans="1:7" ht="15" customHeight="1" x14ac:dyDescent="0.35">
      <c r="A60" s="3" t="s">
        <v>176</v>
      </c>
      <c r="B60" s="17">
        <v>0.25</v>
      </c>
      <c r="C60" s="3"/>
      <c r="D60" s="3"/>
      <c r="E60" s="3"/>
      <c r="F60" s="3"/>
      <c r="G60" s="10" t="s">
        <v>177</v>
      </c>
    </row>
    <row r="61" spans="1:7" ht="15" customHeight="1" x14ac:dyDescent="0.35">
      <c r="A61" s="3" t="s">
        <v>178</v>
      </c>
      <c r="B61" s="17">
        <v>0.02</v>
      </c>
      <c r="C61" s="3"/>
      <c r="D61" s="3"/>
      <c r="E61" s="3"/>
      <c r="F61" s="3"/>
      <c r="G61" s="3"/>
    </row>
    <row r="62" spans="1:7" ht="15.75" customHeight="1" x14ac:dyDescent="0.35">
      <c r="A62" s="4"/>
      <c r="B62" s="4"/>
      <c r="C62" s="4"/>
      <c r="D62" s="4"/>
      <c r="E62" s="4"/>
      <c r="F62" s="4"/>
      <c r="G62" s="4"/>
    </row>
    <row r="63" spans="1:7" ht="15.75" customHeight="1" x14ac:dyDescent="0.35">
      <c r="A63" s="4"/>
      <c r="B63" s="4"/>
      <c r="C63" s="4"/>
      <c r="D63" s="4"/>
      <c r="E63" s="4"/>
      <c r="F63" s="4"/>
      <c r="G63" s="4"/>
    </row>
    <row r="64" spans="1:7" ht="15.75" customHeight="1" x14ac:dyDescent="0.35">
      <c r="A64" s="4"/>
      <c r="B64" s="4"/>
      <c r="C64" s="4"/>
      <c r="D64" s="4"/>
      <c r="E64" s="4"/>
      <c r="F64" s="4"/>
      <c r="G64" s="4"/>
    </row>
    <row r="65" spans="1:7" ht="15.75" customHeight="1" x14ac:dyDescent="0.35">
      <c r="A65" s="4"/>
      <c r="B65" s="4"/>
      <c r="C65" s="4"/>
      <c r="D65" s="4"/>
      <c r="E65" s="4"/>
      <c r="F65" s="4"/>
      <c r="G65" s="4"/>
    </row>
    <row r="66" spans="1:7" ht="15.75" customHeight="1" x14ac:dyDescent="0.35">
      <c r="A66" s="4"/>
      <c r="B66" s="4"/>
      <c r="C66" s="4"/>
      <c r="D66" s="4"/>
      <c r="E66" s="4"/>
      <c r="F66" s="4"/>
      <c r="G66" s="4"/>
    </row>
    <row r="67" spans="1:7" ht="15.75" customHeight="1" x14ac:dyDescent="0.35">
      <c r="A67" s="4"/>
      <c r="B67" s="4"/>
      <c r="C67" s="4"/>
      <c r="D67" s="4"/>
      <c r="E67" s="4"/>
      <c r="F67" s="4"/>
      <c r="G67" s="4"/>
    </row>
    <row r="68" spans="1:7" ht="15.75" customHeight="1" x14ac:dyDescent="0.35">
      <c r="A68" s="4"/>
      <c r="B68" s="4"/>
      <c r="C68" s="4"/>
      <c r="D68" s="4"/>
      <c r="E68" s="4"/>
      <c r="F68" s="4"/>
      <c r="G68" s="4"/>
    </row>
    <row r="69" spans="1:7" ht="15.75" customHeight="1" x14ac:dyDescent="0.35">
      <c r="A69" s="4"/>
      <c r="B69" s="4"/>
      <c r="C69" s="4"/>
      <c r="D69" s="4"/>
      <c r="E69" s="4"/>
      <c r="F69" s="4"/>
      <c r="G69" s="4"/>
    </row>
    <row r="70" spans="1:7" ht="15.75" customHeight="1" x14ac:dyDescent="0.35">
      <c r="A70" s="4"/>
      <c r="B70" s="4"/>
      <c r="C70" s="4"/>
      <c r="D70" s="4"/>
      <c r="E70" s="4"/>
      <c r="F70" s="4"/>
      <c r="G70" s="4"/>
    </row>
    <row r="71" spans="1:7" ht="15.75" customHeight="1" x14ac:dyDescent="0.35">
      <c r="A71" s="4"/>
      <c r="B71" s="4"/>
      <c r="C71" s="4"/>
      <c r="D71" s="4"/>
      <c r="E71" s="4"/>
      <c r="F71" s="4"/>
      <c r="G71" s="4"/>
    </row>
    <row r="72" spans="1:7" ht="15.75" customHeight="1" x14ac:dyDescent="0.35">
      <c r="A72" s="4"/>
      <c r="B72" s="4"/>
      <c r="C72" s="4"/>
      <c r="D72" s="4"/>
      <c r="E72" s="4"/>
      <c r="F72" s="4"/>
      <c r="G72" s="4"/>
    </row>
    <row r="73" spans="1:7" ht="15.75" customHeight="1" x14ac:dyDescent="0.35">
      <c r="A73" s="4"/>
      <c r="B73" s="4"/>
      <c r="C73" s="4"/>
      <c r="D73" s="4"/>
      <c r="E73" s="4"/>
      <c r="F73" s="4"/>
      <c r="G73" s="4"/>
    </row>
    <row r="74" spans="1:7" ht="15.75" customHeight="1" x14ac:dyDescent="0.35">
      <c r="A74" s="4"/>
      <c r="B74" s="4"/>
      <c r="C74" s="4"/>
      <c r="D74" s="4"/>
      <c r="E74" s="4"/>
      <c r="F74" s="4"/>
      <c r="G74" s="4"/>
    </row>
    <row r="75" spans="1:7" ht="15.75" customHeight="1" x14ac:dyDescent="0.35">
      <c r="A75" s="4"/>
      <c r="B75" s="4"/>
      <c r="C75" s="4"/>
      <c r="D75" s="4"/>
      <c r="E75" s="4"/>
      <c r="F75" s="4"/>
      <c r="G75" s="4"/>
    </row>
    <row r="76" spans="1:7" ht="15.75" customHeight="1" x14ac:dyDescent="0.35">
      <c r="A76" s="4"/>
      <c r="B76" s="4"/>
      <c r="C76" s="4"/>
      <c r="D76" s="4"/>
      <c r="E76" s="4"/>
      <c r="F76" s="4"/>
      <c r="G76" s="4"/>
    </row>
    <row r="77" spans="1:7" ht="15.75" customHeight="1" x14ac:dyDescent="0.35">
      <c r="A77" s="4"/>
      <c r="B77" s="4"/>
      <c r="C77" s="4"/>
      <c r="D77" s="4"/>
      <c r="E77" s="4"/>
      <c r="F77" s="4"/>
      <c r="G77" s="4"/>
    </row>
    <row r="78" spans="1:7" ht="15.75" customHeight="1" x14ac:dyDescent="0.35">
      <c r="A78" s="4"/>
      <c r="B78" s="4"/>
      <c r="C78" s="4"/>
      <c r="D78" s="4"/>
      <c r="E78" s="4"/>
      <c r="F78" s="4"/>
      <c r="G78" s="4"/>
    </row>
    <row r="79" spans="1:7" ht="15.75" customHeight="1" x14ac:dyDescent="0.35">
      <c r="A79" s="4"/>
      <c r="B79" s="4"/>
      <c r="C79" s="4"/>
      <c r="D79" s="4"/>
      <c r="E79" s="4"/>
      <c r="F79" s="4"/>
      <c r="G79" s="4"/>
    </row>
    <row r="80" spans="1:7" ht="15.75" customHeight="1" x14ac:dyDescent="0.35">
      <c r="A80" s="4"/>
      <c r="B80" s="4"/>
      <c r="C80" s="4"/>
      <c r="D80" s="4"/>
      <c r="E80" s="4"/>
      <c r="F80" s="4"/>
      <c r="G80" s="4"/>
    </row>
    <row r="81" spans="1:7" ht="15.75" customHeight="1" x14ac:dyDescent="0.35">
      <c r="A81" s="4"/>
      <c r="B81" s="4"/>
      <c r="C81" s="4"/>
      <c r="D81" s="4"/>
      <c r="E81" s="4"/>
      <c r="F81" s="4"/>
      <c r="G81" s="4"/>
    </row>
    <row r="82" spans="1:7" ht="15.75" customHeight="1" x14ac:dyDescent="0.35">
      <c r="A82" s="4"/>
      <c r="B82" s="4"/>
      <c r="C82" s="4"/>
      <c r="D82" s="4"/>
      <c r="E82" s="4"/>
      <c r="F82" s="4"/>
      <c r="G82" s="4"/>
    </row>
    <row r="83" spans="1:7" ht="15.75" customHeight="1" x14ac:dyDescent="0.35">
      <c r="A83" s="4"/>
      <c r="B83" s="4"/>
      <c r="C83" s="4"/>
      <c r="D83" s="4"/>
      <c r="E83" s="4"/>
      <c r="F83" s="4"/>
      <c r="G83" s="4"/>
    </row>
    <row r="84" spans="1:7" ht="15.75" customHeight="1" x14ac:dyDescent="0.35">
      <c r="A84" s="4"/>
      <c r="B84" s="4"/>
      <c r="C84" s="4"/>
      <c r="D84" s="4"/>
      <c r="E84" s="4"/>
      <c r="F84" s="4"/>
      <c r="G84" s="4"/>
    </row>
    <row r="85" spans="1:7" ht="15.75" customHeight="1" x14ac:dyDescent="0.35">
      <c r="A85" s="4"/>
      <c r="B85" s="4"/>
      <c r="C85" s="4"/>
      <c r="D85" s="4"/>
      <c r="E85" s="4"/>
      <c r="F85" s="4"/>
      <c r="G85" s="4"/>
    </row>
    <row r="86" spans="1:7" ht="15.75" customHeight="1" x14ac:dyDescent="0.35">
      <c r="A86" s="4"/>
      <c r="B86" s="4"/>
      <c r="C86" s="4"/>
      <c r="D86" s="4"/>
      <c r="E86" s="4"/>
      <c r="F86" s="4"/>
      <c r="G86" s="4"/>
    </row>
    <row r="87" spans="1:7" ht="15.75" customHeight="1" x14ac:dyDescent="0.35">
      <c r="A87" s="4"/>
      <c r="B87" s="4"/>
      <c r="C87" s="4"/>
      <c r="D87" s="4"/>
      <c r="E87" s="4"/>
      <c r="F87" s="4"/>
      <c r="G87" s="4"/>
    </row>
    <row r="88" spans="1:7" ht="15.75" customHeight="1" x14ac:dyDescent="0.35">
      <c r="A88" s="4"/>
      <c r="B88" s="4"/>
      <c r="C88" s="4"/>
      <c r="D88" s="4"/>
      <c r="E88" s="4"/>
      <c r="F88" s="4"/>
      <c r="G88" s="4"/>
    </row>
    <row r="89" spans="1:7" ht="15.75" customHeight="1" x14ac:dyDescent="0.35">
      <c r="A89" s="4"/>
      <c r="B89" s="4"/>
      <c r="C89" s="4"/>
      <c r="D89" s="4"/>
      <c r="E89" s="4"/>
      <c r="F89" s="4"/>
      <c r="G89" s="4"/>
    </row>
    <row r="90" spans="1:7" ht="15.75" customHeight="1" x14ac:dyDescent="0.35">
      <c r="A90" s="4"/>
      <c r="B90" s="4"/>
      <c r="C90" s="4"/>
      <c r="D90" s="4"/>
      <c r="E90" s="4"/>
      <c r="F90" s="4"/>
      <c r="G90" s="4"/>
    </row>
    <row r="91" spans="1:7" ht="15.75" customHeight="1" x14ac:dyDescent="0.35">
      <c r="A91" s="4"/>
      <c r="B91" s="4"/>
      <c r="C91" s="4"/>
      <c r="D91" s="4"/>
      <c r="E91" s="4"/>
      <c r="F91" s="4"/>
      <c r="G91" s="4"/>
    </row>
    <row r="92" spans="1:7" ht="15.75" customHeight="1" x14ac:dyDescent="0.35">
      <c r="A92" s="4"/>
      <c r="B92" s="4"/>
      <c r="C92" s="4"/>
      <c r="D92" s="4"/>
      <c r="E92" s="4"/>
      <c r="F92" s="4"/>
      <c r="G92" s="4"/>
    </row>
    <row r="93" spans="1:7" ht="15.75" customHeight="1" x14ac:dyDescent="0.35">
      <c r="A93" s="4"/>
      <c r="B93" s="4"/>
      <c r="C93" s="4"/>
      <c r="D93" s="4"/>
      <c r="E93" s="4"/>
      <c r="F93" s="4"/>
      <c r="G93" s="4"/>
    </row>
    <row r="94" spans="1:7" ht="15.75" customHeight="1" x14ac:dyDescent="0.35">
      <c r="A94" s="4"/>
      <c r="B94" s="4"/>
      <c r="C94" s="4"/>
      <c r="D94" s="4"/>
      <c r="E94" s="4"/>
      <c r="F94" s="4"/>
      <c r="G94" s="4"/>
    </row>
    <row r="95" spans="1:7" ht="15.75" customHeight="1" x14ac:dyDescent="0.35">
      <c r="A95" s="4"/>
      <c r="B95" s="4"/>
      <c r="C95" s="4"/>
      <c r="D95" s="4"/>
      <c r="E95" s="4"/>
      <c r="F95" s="4"/>
      <c r="G95" s="4"/>
    </row>
    <row r="96" spans="1:7" ht="15.75" customHeight="1" x14ac:dyDescent="0.35">
      <c r="A96" s="4"/>
      <c r="B96" s="4"/>
      <c r="C96" s="4"/>
      <c r="D96" s="4"/>
      <c r="E96" s="4"/>
      <c r="F96" s="4"/>
      <c r="G96" s="4"/>
    </row>
    <row r="97" spans="1:7" ht="15.75" customHeight="1" x14ac:dyDescent="0.35">
      <c r="A97" s="4"/>
      <c r="B97" s="4"/>
      <c r="C97" s="4"/>
      <c r="D97" s="4"/>
      <c r="E97" s="4"/>
      <c r="F97" s="4"/>
      <c r="G97" s="4"/>
    </row>
    <row r="98" spans="1:7" ht="15.75" customHeight="1" x14ac:dyDescent="0.35">
      <c r="A98" s="4"/>
      <c r="B98" s="4"/>
      <c r="C98" s="4"/>
      <c r="D98" s="4"/>
      <c r="E98" s="4"/>
      <c r="F98" s="4"/>
      <c r="G98" s="4"/>
    </row>
    <row r="99" spans="1:7" ht="15.75" customHeight="1" x14ac:dyDescent="0.35">
      <c r="A99" s="4"/>
      <c r="B99" s="4"/>
      <c r="C99" s="4"/>
      <c r="D99" s="4"/>
      <c r="E99" s="4"/>
      <c r="F99" s="4"/>
      <c r="G99" s="4"/>
    </row>
    <row r="100" spans="1:7" ht="15.75" customHeight="1" x14ac:dyDescent="0.35">
      <c r="A100" s="4"/>
      <c r="B100" s="4"/>
      <c r="C100" s="4"/>
      <c r="D100" s="4"/>
      <c r="E100" s="4"/>
      <c r="F100" s="4"/>
      <c r="G100" s="4"/>
    </row>
    <row r="101" spans="1:7" ht="15.75" customHeight="1" x14ac:dyDescent="0.35">
      <c r="A101" s="4"/>
      <c r="B101" s="4"/>
      <c r="C101" s="4"/>
      <c r="D101" s="4"/>
      <c r="E101" s="4"/>
      <c r="F101" s="4"/>
      <c r="G101" s="4"/>
    </row>
    <row r="102" spans="1:7" ht="15.75" customHeight="1" x14ac:dyDescent="0.35">
      <c r="A102" s="4"/>
      <c r="B102" s="4"/>
      <c r="C102" s="4"/>
      <c r="D102" s="4"/>
      <c r="E102" s="4"/>
      <c r="F102" s="4"/>
      <c r="G102" s="4"/>
    </row>
    <row r="103" spans="1:7" ht="15.75" customHeight="1" x14ac:dyDescent="0.35">
      <c r="A103" s="4"/>
      <c r="B103" s="4"/>
      <c r="C103" s="4"/>
      <c r="D103" s="4"/>
      <c r="E103" s="4"/>
      <c r="F103" s="4"/>
      <c r="G103" s="4"/>
    </row>
    <row r="104" spans="1:7" ht="15.75" customHeight="1" x14ac:dyDescent="0.35">
      <c r="A104" s="4"/>
      <c r="B104" s="4"/>
      <c r="C104" s="4"/>
      <c r="D104" s="4"/>
      <c r="E104" s="4"/>
      <c r="F104" s="4"/>
      <c r="G104" s="4"/>
    </row>
    <row r="105" spans="1:7" ht="15.75" customHeight="1" x14ac:dyDescent="0.35">
      <c r="A105" s="4"/>
      <c r="B105" s="4"/>
      <c r="C105" s="4"/>
      <c r="D105" s="4"/>
      <c r="E105" s="4"/>
      <c r="F105" s="4"/>
      <c r="G105" s="4"/>
    </row>
    <row r="106" spans="1:7" ht="15.75" customHeight="1" x14ac:dyDescent="0.35">
      <c r="A106" s="4"/>
      <c r="B106" s="4"/>
      <c r="C106" s="4"/>
      <c r="D106" s="4"/>
      <c r="E106" s="4"/>
      <c r="F106" s="4"/>
      <c r="G106" s="4"/>
    </row>
    <row r="107" spans="1:7" ht="15.75" customHeight="1" x14ac:dyDescent="0.35">
      <c r="A107" s="4"/>
      <c r="B107" s="4"/>
      <c r="C107" s="4"/>
      <c r="D107" s="4"/>
      <c r="E107" s="4"/>
      <c r="F107" s="4"/>
      <c r="G107" s="4"/>
    </row>
    <row r="108" spans="1:7" ht="15.75" customHeight="1" x14ac:dyDescent="0.35">
      <c r="A108" s="4"/>
      <c r="B108" s="4"/>
      <c r="C108" s="4"/>
      <c r="D108" s="4"/>
      <c r="E108" s="4"/>
      <c r="F108" s="4"/>
      <c r="G108" s="4"/>
    </row>
    <row r="109" spans="1:7" ht="15.75" customHeight="1" x14ac:dyDescent="0.35">
      <c r="A109" s="4"/>
      <c r="B109" s="4"/>
      <c r="C109" s="4"/>
      <c r="D109" s="4"/>
      <c r="E109" s="4"/>
      <c r="F109" s="4"/>
      <c r="G109" s="4"/>
    </row>
    <row r="110" spans="1:7" ht="15.75" customHeight="1" x14ac:dyDescent="0.35">
      <c r="A110" s="4"/>
      <c r="B110" s="4"/>
      <c r="C110" s="4"/>
      <c r="D110" s="4"/>
      <c r="E110" s="4"/>
      <c r="F110" s="4"/>
      <c r="G110" s="4"/>
    </row>
    <row r="111" spans="1:7" ht="15.75" customHeight="1" x14ac:dyDescent="0.35">
      <c r="A111" s="4"/>
      <c r="B111" s="4"/>
      <c r="C111" s="4"/>
      <c r="D111" s="4"/>
      <c r="E111" s="4"/>
      <c r="F111" s="4"/>
      <c r="G111" s="4"/>
    </row>
    <row r="112" spans="1:7" ht="15.75" customHeight="1" x14ac:dyDescent="0.35">
      <c r="A112" s="4"/>
      <c r="B112" s="4"/>
      <c r="C112" s="4"/>
      <c r="D112" s="4"/>
      <c r="E112" s="4"/>
      <c r="F112" s="4"/>
      <c r="G112" s="4"/>
    </row>
    <row r="113" spans="1:7" ht="15.75" customHeight="1" x14ac:dyDescent="0.35">
      <c r="A113" s="4"/>
      <c r="B113" s="4"/>
      <c r="C113" s="4"/>
      <c r="D113" s="4"/>
      <c r="E113" s="4"/>
      <c r="F113" s="4"/>
      <c r="G113" s="4"/>
    </row>
    <row r="114" spans="1:7" ht="15.75" customHeight="1" x14ac:dyDescent="0.35">
      <c r="A114" s="4"/>
      <c r="B114" s="4"/>
      <c r="C114" s="4"/>
      <c r="D114" s="4"/>
      <c r="E114" s="4"/>
      <c r="F114" s="4"/>
      <c r="G114" s="4"/>
    </row>
    <row r="115" spans="1:7" ht="15.75" customHeight="1" x14ac:dyDescent="0.35">
      <c r="A115" s="4"/>
      <c r="B115" s="4"/>
      <c r="C115" s="4"/>
      <c r="D115" s="4"/>
      <c r="E115" s="4"/>
      <c r="F115" s="4"/>
      <c r="G115" s="4"/>
    </row>
    <row r="116" spans="1:7" ht="15.75" customHeight="1" x14ac:dyDescent="0.35">
      <c r="A116" s="4"/>
      <c r="B116" s="4"/>
      <c r="C116" s="4"/>
      <c r="D116" s="4"/>
      <c r="E116" s="4"/>
      <c r="F116" s="4"/>
      <c r="G116" s="4"/>
    </row>
    <row r="117" spans="1:7" ht="15.75" customHeight="1" x14ac:dyDescent="0.35">
      <c r="A117" s="4"/>
      <c r="B117" s="4"/>
      <c r="C117" s="4"/>
      <c r="D117" s="4"/>
      <c r="E117" s="4"/>
      <c r="F117" s="4"/>
      <c r="G117" s="4"/>
    </row>
    <row r="118" spans="1:7" ht="15.75" customHeight="1" x14ac:dyDescent="0.35">
      <c r="A118" s="4"/>
      <c r="B118" s="4"/>
      <c r="C118" s="4"/>
      <c r="D118" s="4"/>
      <c r="E118" s="4"/>
      <c r="F118" s="4"/>
      <c r="G118" s="4"/>
    </row>
    <row r="119" spans="1:7" ht="15.75" customHeight="1" x14ac:dyDescent="0.35">
      <c r="A119" s="4"/>
      <c r="B119" s="4"/>
      <c r="C119" s="4"/>
      <c r="D119" s="4"/>
      <c r="E119" s="4"/>
      <c r="F119" s="4"/>
      <c r="G119" s="4"/>
    </row>
    <row r="120" spans="1:7" ht="15.75" customHeight="1" x14ac:dyDescent="0.35">
      <c r="A120" s="4"/>
      <c r="B120" s="4"/>
      <c r="C120" s="4"/>
      <c r="D120" s="4"/>
      <c r="E120" s="4"/>
      <c r="F120" s="4"/>
      <c r="G120" s="4"/>
    </row>
    <row r="121" spans="1:7" ht="15.75" customHeight="1" x14ac:dyDescent="0.35">
      <c r="A121" s="4"/>
      <c r="B121" s="4"/>
      <c r="C121" s="4"/>
      <c r="D121" s="4"/>
      <c r="E121" s="4"/>
      <c r="F121" s="4"/>
      <c r="G121" s="4"/>
    </row>
    <row r="122" spans="1:7" ht="15.75" customHeight="1" x14ac:dyDescent="0.35">
      <c r="A122" s="4"/>
      <c r="B122" s="4"/>
      <c r="C122" s="4"/>
      <c r="D122" s="4"/>
      <c r="E122" s="4"/>
      <c r="F122" s="4"/>
      <c r="G122" s="4"/>
    </row>
    <row r="123" spans="1:7" ht="15.75" customHeight="1" x14ac:dyDescent="0.35">
      <c r="A123" s="4"/>
      <c r="B123" s="4"/>
      <c r="C123" s="4"/>
      <c r="D123" s="4"/>
      <c r="E123" s="4"/>
      <c r="F123" s="4"/>
      <c r="G123" s="4"/>
    </row>
    <row r="124" spans="1:7" ht="15.75" customHeight="1" x14ac:dyDescent="0.35">
      <c r="A124" s="4"/>
      <c r="B124" s="4"/>
      <c r="C124" s="4"/>
      <c r="D124" s="4"/>
      <c r="E124" s="4"/>
      <c r="F124" s="4"/>
      <c r="G124" s="4"/>
    </row>
    <row r="125" spans="1:7" ht="15.75" customHeight="1" x14ac:dyDescent="0.35">
      <c r="A125" s="4"/>
      <c r="B125" s="4"/>
      <c r="C125" s="4"/>
      <c r="D125" s="4"/>
      <c r="E125" s="4"/>
      <c r="F125" s="4"/>
      <c r="G125" s="4"/>
    </row>
    <row r="126" spans="1:7" ht="15.75" customHeight="1" x14ac:dyDescent="0.35">
      <c r="A126" s="4"/>
      <c r="B126" s="4"/>
      <c r="C126" s="4"/>
      <c r="D126" s="4"/>
      <c r="E126" s="4"/>
      <c r="F126" s="4"/>
      <c r="G126" s="4"/>
    </row>
    <row r="127" spans="1:7" ht="15.75" customHeight="1" x14ac:dyDescent="0.35">
      <c r="A127" s="4"/>
      <c r="B127" s="4"/>
      <c r="C127" s="4"/>
      <c r="D127" s="4"/>
      <c r="E127" s="4"/>
      <c r="F127" s="4"/>
      <c r="G127" s="4"/>
    </row>
    <row r="128" spans="1:7" ht="15.75" customHeight="1" x14ac:dyDescent="0.35">
      <c r="A128" s="4"/>
      <c r="B128" s="4"/>
      <c r="C128" s="4"/>
      <c r="D128" s="4"/>
      <c r="E128" s="4"/>
      <c r="F128" s="4"/>
      <c r="G128" s="4"/>
    </row>
    <row r="129" spans="1:7" ht="15.75" customHeight="1" x14ac:dyDescent="0.35">
      <c r="A129" s="4"/>
      <c r="B129" s="4"/>
      <c r="C129" s="4"/>
      <c r="D129" s="4"/>
      <c r="E129" s="4"/>
      <c r="F129" s="4"/>
      <c r="G129" s="4"/>
    </row>
    <row r="130" spans="1:7" ht="15.75" customHeight="1" x14ac:dyDescent="0.35">
      <c r="A130" s="4"/>
      <c r="B130" s="4"/>
      <c r="C130" s="4"/>
      <c r="D130" s="4"/>
      <c r="E130" s="4"/>
      <c r="F130" s="4"/>
      <c r="G130" s="4"/>
    </row>
    <row r="131" spans="1:7" ht="15.75" customHeight="1" x14ac:dyDescent="0.35">
      <c r="A131" s="4"/>
      <c r="B131" s="4"/>
      <c r="C131" s="4"/>
      <c r="D131" s="4"/>
      <c r="E131" s="4"/>
      <c r="F131" s="4"/>
      <c r="G131" s="4"/>
    </row>
    <row r="132" spans="1:7" ht="15.75" customHeight="1" x14ac:dyDescent="0.35">
      <c r="A132" s="4"/>
      <c r="B132" s="4"/>
      <c r="C132" s="4"/>
      <c r="D132" s="4"/>
      <c r="E132" s="4"/>
      <c r="F132" s="4"/>
      <c r="G132" s="4"/>
    </row>
    <row r="133" spans="1:7" ht="15.75" customHeight="1" x14ac:dyDescent="0.35">
      <c r="A133" s="4"/>
      <c r="B133" s="4"/>
      <c r="C133" s="4"/>
      <c r="D133" s="4"/>
      <c r="E133" s="4"/>
      <c r="F133" s="4"/>
      <c r="G133" s="4"/>
    </row>
    <row r="134" spans="1:7" ht="15.75" customHeight="1" x14ac:dyDescent="0.35">
      <c r="A134" s="4"/>
      <c r="B134" s="4"/>
      <c r="C134" s="4"/>
      <c r="D134" s="4"/>
      <c r="E134" s="4"/>
      <c r="F134" s="4"/>
      <c r="G134" s="4"/>
    </row>
    <row r="135" spans="1:7" ht="15.75" customHeight="1" x14ac:dyDescent="0.35">
      <c r="A135" s="4"/>
      <c r="B135" s="4"/>
      <c r="C135" s="4"/>
      <c r="D135" s="4"/>
      <c r="E135" s="4"/>
      <c r="F135" s="4"/>
      <c r="G135" s="4"/>
    </row>
    <row r="136" spans="1:7" ht="15.75" customHeight="1" x14ac:dyDescent="0.35">
      <c r="A136" s="4"/>
      <c r="B136" s="4"/>
      <c r="C136" s="4"/>
      <c r="D136" s="4"/>
      <c r="E136" s="4"/>
      <c r="F136" s="4"/>
      <c r="G136" s="4"/>
    </row>
    <row r="137" spans="1:7" ht="15.75" customHeight="1" x14ac:dyDescent="0.35">
      <c r="A137" s="4"/>
      <c r="B137" s="4"/>
      <c r="C137" s="4"/>
      <c r="D137" s="4"/>
      <c r="E137" s="4"/>
      <c r="F137" s="4"/>
      <c r="G137" s="4"/>
    </row>
    <row r="138" spans="1:7" ht="15.75" customHeight="1" x14ac:dyDescent="0.35">
      <c r="A138" s="4"/>
      <c r="B138" s="4"/>
      <c r="C138" s="4"/>
      <c r="D138" s="4"/>
      <c r="E138" s="4"/>
      <c r="F138" s="4"/>
      <c r="G138" s="4"/>
    </row>
    <row r="139" spans="1:7" ht="15.75" customHeight="1" x14ac:dyDescent="0.35">
      <c r="A139" s="4"/>
      <c r="B139" s="4"/>
      <c r="C139" s="4"/>
      <c r="D139" s="4"/>
      <c r="E139" s="4"/>
      <c r="F139" s="4"/>
      <c r="G139" s="4"/>
    </row>
    <row r="140" spans="1:7" ht="15.75" customHeight="1" x14ac:dyDescent="0.35">
      <c r="A140" s="4"/>
      <c r="B140" s="4"/>
      <c r="C140" s="4"/>
      <c r="D140" s="4"/>
      <c r="E140" s="4"/>
      <c r="F140" s="4"/>
      <c r="G140" s="4"/>
    </row>
    <row r="141" spans="1:7" ht="15.75" customHeight="1" x14ac:dyDescent="0.35">
      <c r="A141" s="4"/>
      <c r="B141" s="4"/>
      <c r="C141" s="4"/>
      <c r="D141" s="4"/>
      <c r="E141" s="4"/>
      <c r="F141" s="4"/>
      <c r="G141" s="4"/>
    </row>
    <row r="142" spans="1:7" ht="15.75" customHeight="1" x14ac:dyDescent="0.35">
      <c r="A142" s="4"/>
      <c r="B142" s="4"/>
      <c r="C142" s="4"/>
      <c r="D142" s="4"/>
      <c r="E142" s="4"/>
      <c r="F142" s="4"/>
      <c r="G142" s="4"/>
    </row>
    <row r="143" spans="1:7" ht="15.75" customHeight="1" x14ac:dyDescent="0.35">
      <c r="A143" s="4"/>
      <c r="B143" s="4"/>
      <c r="C143" s="4"/>
      <c r="D143" s="4"/>
      <c r="E143" s="4"/>
      <c r="F143" s="4"/>
      <c r="G143" s="4"/>
    </row>
    <row r="144" spans="1:7" ht="15.75" customHeight="1" x14ac:dyDescent="0.35">
      <c r="A144" s="4"/>
      <c r="B144" s="4"/>
      <c r="C144" s="4"/>
      <c r="D144" s="4"/>
      <c r="E144" s="4"/>
      <c r="F144" s="4"/>
      <c r="G144" s="4"/>
    </row>
    <row r="145" spans="1:7" ht="15.75" customHeight="1" x14ac:dyDescent="0.35">
      <c r="A145" s="4"/>
      <c r="B145" s="4"/>
      <c r="C145" s="4"/>
      <c r="D145" s="4"/>
      <c r="E145" s="4"/>
      <c r="F145" s="4"/>
      <c r="G145" s="4"/>
    </row>
    <row r="146" spans="1:7" ht="15.75" customHeight="1" x14ac:dyDescent="0.35">
      <c r="A146" s="4"/>
      <c r="B146" s="4"/>
      <c r="C146" s="4"/>
      <c r="D146" s="4"/>
      <c r="E146" s="4"/>
      <c r="F146" s="4"/>
      <c r="G146" s="4"/>
    </row>
    <row r="147" spans="1:7" ht="15.75" customHeight="1" x14ac:dyDescent="0.35">
      <c r="A147" s="4"/>
      <c r="B147" s="4"/>
      <c r="C147" s="4"/>
      <c r="D147" s="4"/>
      <c r="E147" s="4"/>
      <c r="F147" s="4"/>
      <c r="G147" s="4"/>
    </row>
    <row r="148" spans="1:7" ht="15.75" customHeight="1" x14ac:dyDescent="0.35">
      <c r="A148" s="4"/>
      <c r="B148" s="4"/>
      <c r="C148" s="4"/>
      <c r="D148" s="4"/>
      <c r="E148" s="4"/>
      <c r="F148" s="4"/>
      <c r="G148" s="4"/>
    </row>
    <row r="149" spans="1:7" ht="15.75" customHeight="1" x14ac:dyDescent="0.35">
      <c r="A149" s="4"/>
      <c r="B149" s="4"/>
      <c r="C149" s="4"/>
      <c r="D149" s="4"/>
      <c r="E149" s="4"/>
      <c r="F149" s="4"/>
      <c r="G149" s="4"/>
    </row>
    <row r="150" spans="1:7" ht="15.75" customHeight="1" x14ac:dyDescent="0.35">
      <c r="A150" s="4"/>
      <c r="B150" s="4"/>
      <c r="C150" s="4"/>
      <c r="D150" s="4"/>
      <c r="E150" s="4"/>
      <c r="F150" s="4"/>
      <c r="G150" s="4"/>
    </row>
    <row r="151" spans="1:7" ht="15.75" customHeight="1" x14ac:dyDescent="0.35">
      <c r="A151" s="4"/>
      <c r="B151" s="4"/>
      <c r="C151" s="4"/>
      <c r="D151" s="4"/>
      <c r="E151" s="4"/>
      <c r="F151" s="4"/>
      <c r="G151" s="4"/>
    </row>
    <row r="152" spans="1:7" ht="15.75" customHeight="1" x14ac:dyDescent="0.35">
      <c r="A152" s="4"/>
      <c r="B152" s="4"/>
      <c r="C152" s="4"/>
      <c r="D152" s="4"/>
      <c r="E152" s="4"/>
      <c r="F152" s="4"/>
      <c r="G152" s="4"/>
    </row>
    <row r="153" spans="1:7" ht="15.75" customHeight="1" x14ac:dyDescent="0.35">
      <c r="A153" s="4"/>
      <c r="B153" s="4"/>
      <c r="C153" s="4"/>
      <c r="D153" s="4"/>
      <c r="E153" s="4"/>
      <c r="F153" s="4"/>
      <c r="G153" s="4"/>
    </row>
    <row r="154" spans="1:7" ht="15.75" customHeight="1" x14ac:dyDescent="0.35">
      <c r="A154" s="4"/>
      <c r="B154" s="4"/>
      <c r="C154" s="4"/>
      <c r="D154" s="4"/>
      <c r="E154" s="4"/>
      <c r="F154" s="4"/>
      <c r="G154" s="4"/>
    </row>
    <row r="155" spans="1:7" ht="15.75" customHeight="1" x14ac:dyDescent="0.35">
      <c r="A155" s="4"/>
      <c r="B155" s="4"/>
      <c r="C155" s="4"/>
      <c r="D155" s="4"/>
      <c r="E155" s="4"/>
      <c r="F155" s="4"/>
      <c r="G155" s="4"/>
    </row>
    <row r="156" spans="1:7" ht="15.75" customHeight="1" x14ac:dyDescent="0.35">
      <c r="A156" s="4"/>
      <c r="B156" s="4"/>
      <c r="C156" s="4"/>
      <c r="D156" s="4"/>
      <c r="E156" s="4"/>
      <c r="F156" s="4"/>
      <c r="G156" s="4"/>
    </row>
    <row r="157" spans="1:7" ht="15.75" customHeight="1" x14ac:dyDescent="0.35">
      <c r="A157" s="4"/>
      <c r="B157" s="4"/>
      <c r="C157" s="4"/>
      <c r="D157" s="4"/>
      <c r="E157" s="4"/>
      <c r="F157" s="4"/>
      <c r="G157" s="4"/>
    </row>
    <row r="158" spans="1:7" ht="15.75" customHeight="1" x14ac:dyDescent="0.35">
      <c r="A158" s="4"/>
      <c r="B158" s="4"/>
      <c r="C158" s="4"/>
      <c r="D158" s="4"/>
      <c r="E158" s="4"/>
      <c r="F158" s="4"/>
      <c r="G158" s="4"/>
    </row>
    <row r="159" spans="1:7" ht="15.75" customHeight="1" x14ac:dyDescent="0.35">
      <c r="A159" s="4"/>
      <c r="B159" s="4"/>
      <c r="C159" s="4"/>
      <c r="D159" s="4"/>
      <c r="E159" s="4"/>
      <c r="F159" s="4"/>
      <c r="G159" s="4"/>
    </row>
    <row r="160" spans="1:7" ht="15.75" customHeight="1" x14ac:dyDescent="0.35">
      <c r="A160" s="4"/>
      <c r="B160" s="4"/>
      <c r="C160" s="4"/>
      <c r="D160" s="4"/>
      <c r="E160" s="4"/>
      <c r="F160" s="4"/>
      <c r="G160" s="4"/>
    </row>
    <row r="161" spans="1:7" ht="15.75" customHeight="1" x14ac:dyDescent="0.35">
      <c r="A161" s="4"/>
      <c r="B161" s="4"/>
      <c r="C161" s="4"/>
      <c r="D161" s="4"/>
      <c r="E161" s="4"/>
      <c r="F161" s="4"/>
      <c r="G161" s="4"/>
    </row>
    <row r="162" spans="1:7" ht="15.75" customHeight="1" x14ac:dyDescent="0.35">
      <c r="A162" s="4"/>
      <c r="B162" s="4"/>
      <c r="C162" s="4"/>
      <c r="D162" s="4"/>
      <c r="E162" s="4"/>
      <c r="F162" s="4"/>
      <c r="G162" s="4"/>
    </row>
    <row r="163" spans="1:7" ht="15.75" customHeight="1" x14ac:dyDescent="0.35">
      <c r="A163" s="4"/>
      <c r="B163" s="4"/>
      <c r="C163" s="4"/>
      <c r="D163" s="4"/>
      <c r="E163" s="4"/>
      <c r="F163" s="4"/>
      <c r="G163" s="4"/>
    </row>
    <row r="164" spans="1:7" ht="15.75" customHeight="1" x14ac:dyDescent="0.35">
      <c r="A164" s="4"/>
      <c r="B164" s="4"/>
      <c r="C164" s="4"/>
      <c r="D164" s="4"/>
      <c r="E164" s="4"/>
      <c r="F164" s="4"/>
      <c r="G164" s="4"/>
    </row>
    <row r="165" spans="1:7" ht="15.75" customHeight="1" x14ac:dyDescent="0.35">
      <c r="A165" s="4"/>
      <c r="B165" s="4"/>
      <c r="C165" s="4"/>
      <c r="D165" s="4"/>
      <c r="E165" s="4"/>
      <c r="F165" s="4"/>
      <c r="G165" s="4"/>
    </row>
    <row r="166" spans="1:7" ht="15.75" customHeight="1" x14ac:dyDescent="0.35">
      <c r="A166" s="4"/>
      <c r="B166" s="4"/>
      <c r="C166" s="4"/>
      <c r="D166" s="4"/>
      <c r="E166" s="4"/>
      <c r="F166" s="4"/>
      <c r="G166" s="4"/>
    </row>
    <row r="167" spans="1:7" ht="15.75" customHeight="1" x14ac:dyDescent="0.35">
      <c r="A167" s="4"/>
      <c r="B167" s="4"/>
      <c r="C167" s="4"/>
      <c r="D167" s="4"/>
      <c r="E167" s="4"/>
      <c r="F167" s="4"/>
      <c r="G167" s="4"/>
    </row>
    <row r="168" spans="1:7" ht="15.75" customHeight="1" x14ac:dyDescent="0.35">
      <c r="A168" s="4"/>
      <c r="B168" s="4"/>
      <c r="C168" s="4"/>
      <c r="D168" s="4"/>
      <c r="E168" s="4"/>
      <c r="F168" s="4"/>
      <c r="G168" s="4"/>
    </row>
    <row r="169" spans="1:7" ht="15.75" customHeight="1" x14ac:dyDescent="0.35">
      <c r="A169" s="4"/>
      <c r="B169" s="4"/>
      <c r="C169" s="4"/>
      <c r="D169" s="4"/>
      <c r="E169" s="4"/>
      <c r="F169" s="4"/>
      <c r="G169" s="4"/>
    </row>
    <row r="170" spans="1:7" ht="15.75" customHeight="1" x14ac:dyDescent="0.35">
      <c r="A170" s="4"/>
      <c r="B170" s="4"/>
      <c r="C170" s="4"/>
      <c r="D170" s="4"/>
      <c r="E170" s="4"/>
      <c r="F170" s="4"/>
      <c r="G170" s="4"/>
    </row>
    <row r="171" spans="1:7" ht="15.75" customHeight="1" x14ac:dyDescent="0.35">
      <c r="A171" s="4"/>
      <c r="B171" s="4"/>
      <c r="C171" s="4"/>
      <c r="D171" s="4"/>
      <c r="E171" s="4"/>
      <c r="F171" s="4"/>
      <c r="G171" s="4"/>
    </row>
    <row r="172" spans="1:7" ht="15.75" customHeight="1" x14ac:dyDescent="0.35">
      <c r="A172" s="4"/>
      <c r="B172" s="4"/>
      <c r="C172" s="4"/>
      <c r="D172" s="4"/>
      <c r="E172" s="4"/>
      <c r="F172" s="4"/>
      <c r="G172" s="4"/>
    </row>
    <row r="173" spans="1:7" ht="15.75" customHeight="1" x14ac:dyDescent="0.35">
      <c r="A173" s="4"/>
      <c r="B173" s="4"/>
      <c r="C173" s="4"/>
      <c r="D173" s="4"/>
      <c r="E173" s="4"/>
      <c r="F173" s="4"/>
      <c r="G173" s="4"/>
    </row>
    <row r="174" spans="1:7" ht="15.75" customHeight="1" x14ac:dyDescent="0.35">
      <c r="A174" s="4"/>
      <c r="B174" s="4"/>
      <c r="C174" s="4"/>
      <c r="D174" s="4"/>
      <c r="E174" s="4"/>
      <c r="F174" s="4"/>
      <c r="G174" s="4"/>
    </row>
    <row r="175" spans="1:7" ht="15.75" customHeight="1" x14ac:dyDescent="0.35">
      <c r="A175" s="4"/>
      <c r="B175" s="4"/>
      <c r="C175" s="4"/>
      <c r="D175" s="4"/>
      <c r="E175" s="4"/>
      <c r="F175" s="4"/>
      <c r="G175" s="4"/>
    </row>
    <row r="176" spans="1:7" ht="15.75" customHeight="1" x14ac:dyDescent="0.35">
      <c r="A176" s="4"/>
      <c r="B176" s="4"/>
      <c r="C176" s="4"/>
      <c r="D176" s="4"/>
      <c r="E176" s="4"/>
      <c r="F176" s="4"/>
      <c r="G176" s="4"/>
    </row>
    <row r="177" spans="1:7" ht="15.75" customHeight="1" x14ac:dyDescent="0.35">
      <c r="A177" s="4"/>
      <c r="B177" s="4"/>
      <c r="C177" s="4"/>
      <c r="D177" s="4"/>
      <c r="E177" s="4"/>
      <c r="F177" s="4"/>
      <c r="G177" s="4"/>
    </row>
    <row r="178" spans="1:7" ht="15.75" customHeight="1" x14ac:dyDescent="0.35">
      <c r="A178" s="4"/>
      <c r="B178" s="4"/>
      <c r="C178" s="4"/>
      <c r="D178" s="4"/>
      <c r="E178" s="4"/>
      <c r="F178" s="4"/>
      <c r="G178" s="4"/>
    </row>
    <row r="179" spans="1:7" ht="15.75" customHeight="1" x14ac:dyDescent="0.35">
      <c r="A179" s="4"/>
      <c r="B179" s="4"/>
      <c r="C179" s="4"/>
      <c r="D179" s="4"/>
      <c r="E179" s="4"/>
      <c r="F179" s="4"/>
      <c r="G179" s="4"/>
    </row>
    <row r="180" spans="1:7" ht="15.75" customHeight="1" x14ac:dyDescent="0.35">
      <c r="A180" s="4"/>
      <c r="B180" s="4"/>
      <c r="C180" s="4"/>
      <c r="D180" s="4"/>
      <c r="E180" s="4"/>
      <c r="F180" s="4"/>
      <c r="G180" s="4"/>
    </row>
    <row r="181" spans="1:7" ht="15.75" customHeight="1" x14ac:dyDescent="0.35">
      <c r="A181" s="4"/>
      <c r="B181" s="4"/>
      <c r="C181" s="4"/>
      <c r="D181" s="4"/>
      <c r="E181" s="4"/>
      <c r="F181" s="4"/>
      <c r="G181" s="4"/>
    </row>
    <row r="182" spans="1:7" ht="15.75" customHeight="1" x14ac:dyDescent="0.35">
      <c r="A182" s="4"/>
      <c r="B182" s="4"/>
      <c r="C182" s="4"/>
      <c r="D182" s="4"/>
      <c r="E182" s="4"/>
      <c r="F182" s="4"/>
      <c r="G182" s="4"/>
    </row>
    <row r="183" spans="1:7" ht="15.75" customHeight="1" x14ac:dyDescent="0.35">
      <c r="A183" s="4"/>
      <c r="B183" s="4"/>
      <c r="C183" s="4"/>
      <c r="D183" s="4"/>
      <c r="E183" s="4"/>
      <c r="F183" s="4"/>
      <c r="G183" s="4"/>
    </row>
    <row r="184" spans="1:7" ht="15.75" customHeight="1" x14ac:dyDescent="0.35">
      <c r="A184" s="4"/>
      <c r="B184" s="4"/>
      <c r="C184" s="4"/>
      <c r="D184" s="4"/>
      <c r="E184" s="4"/>
      <c r="F184" s="4"/>
      <c r="G184" s="4"/>
    </row>
    <row r="185" spans="1:7" ht="15.75" customHeight="1" x14ac:dyDescent="0.35">
      <c r="A185" s="4"/>
      <c r="B185" s="4"/>
      <c r="C185" s="4"/>
      <c r="D185" s="4"/>
      <c r="E185" s="4"/>
      <c r="F185" s="4"/>
      <c r="G185" s="4"/>
    </row>
    <row r="186" spans="1:7" ht="15.75" customHeight="1" x14ac:dyDescent="0.35">
      <c r="A186" s="4"/>
      <c r="B186" s="4"/>
      <c r="C186" s="4"/>
      <c r="D186" s="4"/>
      <c r="E186" s="4"/>
      <c r="F186" s="4"/>
      <c r="G186" s="4"/>
    </row>
    <row r="187" spans="1:7" ht="15.75" customHeight="1" x14ac:dyDescent="0.35">
      <c r="A187" s="4"/>
      <c r="B187" s="4"/>
      <c r="C187" s="4"/>
      <c r="D187" s="4"/>
      <c r="E187" s="4"/>
      <c r="F187" s="4"/>
      <c r="G187" s="4"/>
    </row>
    <row r="188" spans="1:7" ht="15.75" customHeight="1" x14ac:dyDescent="0.35">
      <c r="A188" s="4"/>
      <c r="B188" s="4"/>
      <c r="C188" s="4"/>
      <c r="D188" s="4"/>
      <c r="E188" s="4"/>
      <c r="F188" s="4"/>
      <c r="G188" s="4"/>
    </row>
    <row r="189" spans="1:7" ht="15.75" customHeight="1" x14ac:dyDescent="0.35">
      <c r="A189" s="4"/>
      <c r="B189" s="4"/>
      <c r="C189" s="4"/>
      <c r="D189" s="4"/>
      <c r="E189" s="4"/>
      <c r="F189" s="4"/>
      <c r="G189" s="4"/>
    </row>
    <row r="190" spans="1:7" ht="15.75" customHeight="1" x14ac:dyDescent="0.35">
      <c r="A190" s="4"/>
      <c r="B190" s="4"/>
      <c r="C190" s="4"/>
      <c r="D190" s="4"/>
      <c r="E190" s="4"/>
      <c r="F190" s="4"/>
      <c r="G190" s="4"/>
    </row>
    <row r="191" spans="1:7" ht="15.75" customHeight="1" x14ac:dyDescent="0.35">
      <c r="A191" s="4"/>
      <c r="B191" s="4"/>
      <c r="C191" s="4"/>
      <c r="D191" s="4"/>
      <c r="E191" s="4"/>
      <c r="F191" s="4"/>
      <c r="G191" s="4"/>
    </row>
    <row r="192" spans="1:7" ht="15.75" customHeight="1" x14ac:dyDescent="0.35">
      <c r="A192" s="4"/>
      <c r="B192" s="4"/>
      <c r="C192" s="4"/>
      <c r="D192" s="4"/>
      <c r="E192" s="4"/>
      <c r="F192" s="4"/>
      <c r="G192" s="4"/>
    </row>
    <row r="193" spans="1:7" ht="15.75" customHeight="1" x14ac:dyDescent="0.35">
      <c r="A193" s="4"/>
      <c r="B193" s="4"/>
      <c r="C193" s="4"/>
      <c r="D193" s="4"/>
      <c r="E193" s="4"/>
      <c r="F193" s="4"/>
      <c r="G193" s="4"/>
    </row>
    <row r="194" spans="1:7" ht="15.75" customHeight="1" x14ac:dyDescent="0.35">
      <c r="A194" s="4"/>
      <c r="B194" s="4"/>
      <c r="C194" s="4"/>
      <c r="D194" s="4"/>
      <c r="E194" s="4"/>
      <c r="F194" s="4"/>
      <c r="G194" s="4"/>
    </row>
    <row r="195" spans="1:7" ht="15.75" customHeight="1" x14ac:dyDescent="0.35">
      <c r="A195" s="4"/>
      <c r="B195" s="4"/>
      <c r="C195" s="4"/>
      <c r="D195" s="4"/>
      <c r="E195" s="4"/>
      <c r="F195" s="4"/>
      <c r="G195" s="4"/>
    </row>
    <row r="196" spans="1:7" ht="15.75" customHeight="1" x14ac:dyDescent="0.35">
      <c r="A196" s="4"/>
      <c r="B196" s="4"/>
      <c r="C196" s="4"/>
      <c r="D196" s="4"/>
      <c r="E196" s="4"/>
      <c r="F196" s="4"/>
      <c r="G196" s="4"/>
    </row>
    <row r="197" spans="1:7" ht="15.75" customHeight="1" x14ac:dyDescent="0.35">
      <c r="A197" s="4"/>
      <c r="B197" s="4"/>
      <c r="C197" s="4"/>
      <c r="D197" s="4"/>
      <c r="E197" s="4"/>
      <c r="F197" s="4"/>
      <c r="G197" s="4"/>
    </row>
    <row r="198" spans="1:7" ht="15.75" customHeight="1" x14ac:dyDescent="0.35">
      <c r="A198" s="4"/>
      <c r="B198" s="4"/>
      <c r="C198" s="4"/>
      <c r="D198" s="4"/>
      <c r="E198" s="4"/>
      <c r="F198" s="4"/>
      <c r="G198" s="4"/>
    </row>
    <row r="199" spans="1:7" ht="15.75" customHeight="1" x14ac:dyDescent="0.35">
      <c r="A199" s="4"/>
      <c r="B199" s="4"/>
      <c r="C199" s="4"/>
      <c r="D199" s="4"/>
      <c r="E199" s="4"/>
      <c r="F199" s="4"/>
      <c r="G199" s="4"/>
    </row>
    <row r="200" spans="1:7" ht="15.75" customHeight="1" x14ac:dyDescent="0.35">
      <c r="A200" s="4"/>
      <c r="B200" s="4"/>
      <c r="C200" s="4"/>
      <c r="D200" s="4"/>
      <c r="E200" s="4"/>
      <c r="F200" s="4"/>
      <c r="G200" s="4"/>
    </row>
    <row r="201" spans="1:7" ht="15.75" customHeight="1" x14ac:dyDescent="0.35">
      <c r="A201" s="4"/>
      <c r="B201" s="4"/>
      <c r="C201" s="4"/>
      <c r="D201" s="4"/>
      <c r="E201" s="4"/>
      <c r="F201" s="4"/>
      <c r="G201" s="4"/>
    </row>
    <row r="202" spans="1:7" ht="15.75" customHeight="1" x14ac:dyDescent="0.35">
      <c r="A202" s="4"/>
      <c r="B202" s="4"/>
      <c r="C202" s="4"/>
      <c r="D202" s="4"/>
      <c r="E202" s="4"/>
      <c r="F202" s="4"/>
      <c r="G202" s="4"/>
    </row>
    <row r="203" spans="1:7" ht="15.75" customHeight="1" x14ac:dyDescent="0.35">
      <c r="A203" s="4"/>
      <c r="B203" s="4"/>
      <c r="C203" s="4"/>
      <c r="D203" s="4"/>
      <c r="E203" s="4"/>
      <c r="F203" s="4"/>
      <c r="G203" s="4"/>
    </row>
    <row r="204" spans="1:7" ht="15.75" customHeight="1" x14ac:dyDescent="0.35">
      <c r="A204" s="4"/>
      <c r="B204" s="4"/>
      <c r="C204" s="4"/>
      <c r="D204" s="4"/>
      <c r="E204" s="4"/>
      <c r="F204" s="4"/>
      <c r="G204" s="4"/>
    </row>
    <row r="205" spans="1:7" ht="15.75" customHeight="1" x14ac:dyDescent="0.35">
      <c r="A205" s="4"/>
      <c r="B205" s="4"/>
      <c r="C205" s="4"/>
      <c r="D205" s="4"/>
      <c r="E205" s="4"/>
      <c r="F205" s="4"/>
      <c r="G205" s="4"/>
    </row>
    <row r="206" spans="1:7" ht="15.75" customHeight="1" x14ac:dyDescent="0.35">
      <c r="A206" s="4"/>
      <c r="B206" s="4"/>
      <c r="C206" s="4"/>
      <c r="D206" s="4"/>
      <c r="E206" s="4"/>
      <c r="F206" s="4"/>
      <c r="G206" s="4"/>
    </row>
    <row r="207" spans="1:7" ht="15.75" customHeight="1" x14ac:dyDescent="0.35">
      <c r="A207" s="4"/>
      <c r="B207" s="4"/>
      <c r="C207" s="4"/>
      <c r="D207" s="4"/>
      <c r="E207" s="4"/>
      <c r="F207" s="4"/>
      <c r="G207" s="4"/>
    </row>
    <row r="208" spans="1:7" ht="15.75" customHeight="1" x14ac:dyDescent="0.35">
      <c r="A208" s="4"/>
      <c r="B208" s="4"/>
      <c r="C208" s="4"/>
      <c r="D208" s="4"/>
      <c r="E208" s="4"/>
      <c r="F208" s="4"/>
      <c r="G208" s="4"/>
    </row>
    <row r="209" spans="1:7" ht="15.75" customHeight="1" x14ac:dyDescent="0.35">
      <c r="A209" s="4"/>
      <c r="B209" s="4"/>
      <c r="C209" s="4"/>
      <c r="D209" s="4"/>
      <c r="E209" s="4"/>
      <c r="F209" s="4"/>
      <c r="G209" s="4"/>
    </row>
    <row r="210" spans="1:7" ht="15.75" customHeight="1" x14ac:dyDescent="0.35">
      <c r="A210" s="4"/>
      <c r="B210" s="4"/>
      <c r="C210" s="4"/>
      <c r="D210" s="4"/>
      <c r="E210" s="4"/>
      <c r="F210" s="4"/>
      <c r="G210" s="4"/>
    </row>
    <row r="211" spans="1:7" ht="15.75" customHeight="1" x14ac:dyDescent="0.35">
      <c r="A211" s="4"/>
      <c r="B211" s="4"/>
      <c r="C211" s="4"/>
      <c r="D211" s="4"/>
      <c r="E211" s="4"/>
      <c r="F211" s="4"/>
      <c r="G211" s="4"/>
    </row>
    <row r="212" spans="1:7" ht="15.75" customHeight="1" x14ac:dyDescent="0.35">
      <c r="A212" s="4"/>
      <c r="B212" s="4"/>
      <c r="C212" s="4"/>
      <c r="D212" s="4"/>
      <c r="E212" s="4"/>
      <c r="F212" s="4"/>
      <c r="G212" s="4"/>
    </row>
    <row r="213" spans="1:7" ht="15.75" customHeight="1" x14ac:dyDescent="0.35">
      <c r="A213" s="4"/>
      <c r="B213" s="4"/>
      <c r="C213" s="4"/>
      <c r="D213" s="4"/>
      <c r="E213" s="4"/>
      <c r="F213" s="4"/>
      <c r="G213" s="4"/>
    </row>
    <row r="214" spans="1:7" ht="15.75" customHeight="1" x14ac:dyDescent="0.35">
      <c r="A214" s="4"/>
      <c r="B214" s="4"/>
      <c r="C214" s="4"/>
      <c r="D214" s="4"/>
      <c r="E214" s="4"/>
      <c r="F214" s="4"/>
      <c r="G214" s="4"/>
    </row>
    <row r="215" spans="1:7" ht="15.75" customHeight="1" x14ac:dyDescent="0.35">
      <c r="A215" s="4"/>
      <c r="B215" s="4"/>
      <c r="C215" s="4"/>
      <c r="D215" s="4"/>
      <c r="E215" s="4"/>
      <c r="F215" s="4"/>
      <c r="G215" s="4"/>
    </row>
    <row r="216" spans="1:7" ht="15.75" customHeight="1" x14ac:dyDescent="0.35">
      <c r="A216" s="4"/>
      <c r="B216" s="4"/>
      <c r="C216" s="4"/>
      <c r="D216" s="4"/>
      <c r="E216" s="4"/>
      <c r="F216" s="4"/>
      <c r="G216" s="4"/>
    </row>
    <row r="217" spans="1:7" ht="15.75" customHeight="1" x14ac:dyDescent="0.35">
      <c r="A217" s="4"/>
      <c r="B217" s="4"/>
      <c r="C217" s="4"/>
      <c r="D217" s="4"/>
      <c r="E217" s="4"/>
      <c r="F217" s="4"/>
      <c r="G217" s="4"/>
    </row>
    <row r="218" spans="1:7" ht="15.75" customHeight="1" x14ac:dyDescent="0.35">
      <c r="A218" s="4"/>
      <c r="B218" s="4"/>
      <c r="C218" s="4"/>
      <c r="D218" s="4"/>
      <c r="E218" s="4"/>
      <c r="F218" s="4"/>
      <c r="G218" s="4"/>
    </row>
    <row r="219" spans="1:7" ht="15.75" customHeight="1" x14ac:dyDescent="0.35">
      <c r="A219" s="4"/>
      <c r="B219" s="4"/>
      <c r="C219" s="4"/>
      <c r="D219" s="4"/>
      <c r="E219" s="4"/>
      <c r="F219" s="4"/>
      <c r="G219" s="4"/>
    </row>
    <row r="220" spans="1:7" ht="15.75" customHeight="1" x14ac:dyDescent="0.35">
      <c r="A220" s="4"/>
      <c r="B220" s="4"/>
      <c r="C220" s="4"/>
      <c r="D220" s="4"/>
      <c r="E220" s="4"/>
      <c r="F220" s="4"/>
      <c r="G220" s="4"/>
    </row>
    <row r="221" spans="1:7" ht="15.75" customHeight="1" x14ac:dyDescent="0.35">
      <c r="A221" s="4"/>
      <c r="B221" s="4"/>
      <c r="C221" s="4"/>
      <c r="D221" s="4"/>
      <c r="E221" s="4"/>
      <c r="F221" s="4"/>
      <c r="G221" s="4"/>
    </row>
    <row r="222" spans="1:7" ht="15.75" customHeight="1" x14ac:dyDescent="0.35">
      <c r="A222" s="4"/>
      <c r="B222" s="4"/>
      <c r="C222" s="4"/>
      <c r="D222" s="4"/>
      <c r="E222" s="4"/>
      <c r="F222" s="4"/>
      <c r="G222" s="4"/>
    </row>
    <row r="223" spans="1:7" ht="15.75" customHeight="1" x14ac:dyDescent="0.35">
      <c r="A223" s="4"/>
      <c r="B223" s="4"/>
      <c r="C223" s="4"/>
      <c r="D223" s="4"/>
      <c r="E223" s="4"/>
      <c r="F223" s="4"/>
      <c r="G223" s="4"/>
    </row>
    <row r="224" spans="1:7" ht="15.75" customHeight="1" x14ac:dyDescent="0.35">
      <c r="A224" s="4"/>
      <c r="B224" s="4"/>
      <c r="C224" s="4"/>
      <c r="D224" s="4"/>
      <c r="E224" s="4"/>
      <c r="F224" s="4"/>
      <c r="G224" s="4"/>
    </row>
    <row r="225" spans="1:7" ht="15.75" customHeight="1" x14ac:dyDescent="0.35">
      <c r="A225" s="4"/>
      <c r="B225" s="4"/>
      <c r="C225" s="4"/>
      <c r="D225" s="4"/>
      <c r="E225" s="4"/>
      <c r="F225" s="4"/>
      <c r="G225" s="4"/>
    </row>
    <row r="226" spans="1:7" ht="15.75" customHeight="1" x14ac:dyDescent="0.35">
      <c r="A226" s="4"/>
      <c r="B226" s="4"/>
      <c r="C226" s="4"/>
      <c r="D226" s="4"/>
      <c r="E226" s="4"/>
      <c r="F226" s="4"/>
      <c r="G226" s="4"/>
    </row>
    <row r="227" spans="1:7" ht="15.75" customHeight="1" x14ac:dyDescent="0.35">
      <c r="A227" s="4"/>
      <c r="B227" s="4"/>
      <c r="C227" s="4"/>
      <c r="D227" s="4"/>
      <c r="E227" s="4"/>
      <c r="F227" s="4"/>
      <c r="G227" s="4"/>
    </row>
    <row r="228" spans="1:7" ht="15.75" customHeight="1" x14ac:dyDescent="0.35">
      <c r="A228" s="4"/>
      <c r="B228" s="4"/>
      <c r="C228" s="4"/>
      <c r="D228" s="4"/>
      <c r="E228" s="4"/>
      <c r="F228" s="4"/>
      <c r="G228" s="4"/>
    </row>
    <row r="229" spans="1:7" ht="15.75" customHeight="1" x14ac:dyDescent="0.35">
      <c r="A229" s="4"/>
      <c r="B229" s="4"/>
      <c r="C229" s="4"/>
      <c r="D229" s="4"/>
      <c r="E229" s="4"/>
      <c r="F229" s="4"/>
      <c r="G229" s="4"/>
    </row>
    <row r="230" spans="1:7" ht="15.75" customHeight="1" x14ac:dyDescent="0.35">
      <c r="A230" s="4"/>
      <c r="B230" s="4"/>
      <c r="C230" s="4"/>
      <c r="D230" s="4"/>
      <c r="E230" s="4"/>
      <c r="F230" s="4"/>
      <c r="G230" s="4"/>
    </row>
    <row r="231" spans="1:7" ht="15.75" customHeight="1" x14ac:dyDescent="0.35">
      <c r="A231" s="4"/>
      <c r="B231" s="4"/>
      <c r="C231" s="4"/>
      <c r="D231" s="4"/>
      <c r="E231" s="4"/>
      <c r="F231" s="4"/>
      <c r="G231" s="4"/>
    </row>
    <row r="232" spans="1:7" ht="15.75" customHeight="1" x14ac:dyDescent="0.35">
      <c r="A232" s="4"/>
      <c r="B232" s="4"/>
      <c r="C232" s="4"/>
      <c r="D232" s="4"/>
      <c r="E232" s="4"/>
      <c r="F232" s="4"/>
      <c r="G232" s="4"/>
    </row>
    <row r="233" spans="1:7" ht="15.75" customHeight="1" x14ac:dyDescent="0.35">
      <c r="A233" s="4"/>
      <c r="B233" s="4"/>
      <c r="C233" s="4"/>
      <c r="D233" s="4"/>
      <c r="E233" s="4"/>
      <c r="F233" s="4"/>
      <c r="G233" s="4"/>
    </row>
    <row r="234" spans="1:7" ht="15.75" customHeight="1" x14ac:dyDescent="0.35">
      <c r="A234" s="4"/>
      <c r="B234" s="4"/>
      <c r="C234" s="4"/>
      <c r="D234" s="4"/>
      <c r="E234" s="4"/>
      <c r="F234" s="4"/>
      <c r="G234" s="4"/>
    </row>
    <row r="235" spans="1:7" ht="15.75" customHeight="1" x14ac:dyDescent="0.35">
      <c r="A235" s="4"/>
      <c r="B235" s="4"/>
      <c r="C235" s="4"/>
      <c r="D235" s="4"/>
      <c r="E235" s="4"/>
      <c r="F235" s="4"/>
      <c r="G235" s="4"/>
    </row>
    <row r="236" spans="1:7" ht="15.75" customHeight="1" x14ac:dyDescent="0.35">
      <c r="A236" s="4"/>
      <c r="B236" s="4"/>
      <c r="C236" s="4"/>
      <c r="D236" s="4"/>
      <c r="E236" s="4"/>
      <c r="F236" s="4"/>
      <c r="G236" s="4"/>
    </row>
    <row r="237" spans="1:7" ht="15.75" customHeight="1" x14ac:dyDescent="0.35">
      <c r="A237" s="4"/>
      <c r="B237" s="4"/>
      <c r="C237" s="4"/>
      <c r="D237" s="4"/>
      <c r="E237" s="4"/>
      <c r="F237" s="4"/>
      <c r="G237" s="4"/>
    </row>
    <row r="238" spans="1:7" ht="15.75" customHeight="1" x14ac:dyDescent="0.35">
      <c r="A238" s="4"/>
      <c r="B238" s="4"/>
      <c r="C238" s="4"/>
      <c r="D238" s="4"/>
      <c r="E238" s="4"/>
      <c r="F238" s="4"/>
      <c r="G238" s="4"/>
    </row>
    <row r="239" spans="1:7" ht="15.75" customHeight="1" x14ac:dyDescent="0.35">
      <c r="A239" s="4"/>
      <c r="B239" s="4"/>
      <c r="C239" s="4"/>
      <c r="D239" s="4"/>
      <c r="E239" s="4"/>
      <c r="F239" s="4"/>
      <c r="G239" s="4"/>
    </row>
    <row r="240" spans="1:7" ht="15.75" customHeight="1" x14ac:dyDescent="0.35">
      <c r="A240" s="4"/>
      <c r="B240" s="4"/>
      <c r="C240" s="4"/>
      <c r="D240" s="4"/>
      <c r="E240" s="4"/>
      <c r="F240" s="4"/>
      <c r="G240" s="4"/>
    </row>
    <row r="241" spans="1:7" ht="15.75" customHeight="1" x14ac:dyDescent="0.35">
      <c r="A241" s="4"/>
      <c r="B241" s="4"/>
      <c r="C241" s="4"/>
      <c r="D241" s="4"/>
      <c r="E241" s="4"/>
      <c r="F241" s="4"/>
      <c r="G241" s="4"/>
    </row>
    <row r="242" spans="1:7" ht="15.75" customHeight="1" x14ac:dyDescent="0.35">
      <c r="A242" s="4"/>
      <c r="B242" s="4"/>
      <c r="C242" s="4"/>
      <c r="D242" s="4"/>
      <c r="E242" s="4"/>
      <c r="F242" s="4"/>
      <c r="G242" s="4"/>
    </row>
    <row r="243" spans="1:7" ht="15.75" customHeight="1" x14ac:dyDescent="0.35">
      <c r="A243" s="4"/>
      <c r="B243" s="4"/>
      <c r="C243" s="4"/>
      <c r="D243" s="4"/>
      <c r="E243" s="4"/>
      <c r="F243" s="4"/>
      <c r="G243" s="4"/>
    </row>
    <row r="244" spans="1:7" ht="15.75" customHeight="1" x14ac:dyDescent="0.35">
      <c r="A244" s="4"/>
      <c r="B244" s="4"/>
      <c r="C244" s="4"/>
      <c r="D244" s="4"/>
      <c r="E244" s="4"/>
      <c r="F244" s="4"/>
      <c r="G244" s="4"/>
    </row>
    <row r="245" spans="1:7" ht="15.75" customHeight="1" x14ac:dyDescent="0.35">
      <c r="A245" s="4"/>
      <c r="B245" s="4"/>
      <c r="C245" s="4"/>
      <c r="D245" s="4"/>
      <c r="E245" s="4"/>
      <c r="F245" s="4"/>
      <c r="G245" s="4"/>
    </row>
    <row r="246" spans="1:7" ht="15.75" customHeight="1" x14ac:dyDescent="0.35">
      <c r="A246" s="4"/>
      <c r="B246" s="4"/>
      <c r="C246" s="4"/>
      <c r="D246" s="4"/>
      <c r="E246" s="4"/>
      <c r="F246" s="4"/>
      <c r="G246" s="4"/>
    </row>
    <row r="247" spans="1:7" ht="15.75" customHeight="1" x14ac:dyDescent="0.35">
      <c r="A247" s="4"/>
      <c r="B247" s="4"/>
      <c r="C247" s="4"/>
      <c r="D247" s="4"/>
      <c r="E247" s="4"/>
      <c r="F247" s="4"/>
      <c r="G247" s="4"/>
    </row>
    <row r="248" spans="1:7" ht="15.75" customHeight="1" x14ac:dyDescent="0.35">
      <c r="A248" s="4"/>
      <c r="B248" s="4"/>
      <c r="C248" s="4"/>
      <c r="D248" s="4"/>
      <c r="E248" s="4"/>
      <c r="F248" s="4"/>
      <c r="G248" s="4"/>
    </row>
    <row r="249" spans="1:7" ht="15.75" customHeight="1" x14ac:dyDescent="0.35">
      <c r="A249" s="4"/>
      <c r="B249" s="4"/>
      <c r="C249" s="4"/>
      <c r="D249" s="4"/>
      <c r="E249" s="4"/>
      <c r="F249" s="4"/>
      <c r="G249" s="4"/>
    </row>
    <row r="250" spans="1:7" ht="15.75" customHeight="1" x14ac:dyDescent="0.35">
      <c r="A250" s="4"/>
      <c r="B250" s="4"/>
      <c r="C250" s="4"/>
      <c r="D250" s="4"/>
      <c r="E250" s="4"/>
      <c r="F250" s="4"/>
      <c r="G250" s="4"/>
    </row>
    <row r="251" spans="1:7" ht="15.75" customHeight="1" x14ac:dyDescent="0.35">
      <c r="A251" s="4"/>
      <c r="B251" s="4"/>
      <c r="C251" s="4"/>
      <c r="D251" s="4"/>
      <c r="E251" s="4"/>
      <c r="F251" s="4"/>
      <c r="G251" s="4"/>
    </row>
    <row r="252" spans="1:7" ht="15.75" customHeight="1" x14ac:dyDescent="0.35">
      <c r="A252" s="4"/>
      <c r="B252" s="4"/>
      <c r="C252" s="4"/>
      <c r="D252" s="4"/>
      <c r="E252" s="4"/>
      <c r="F252" s="4"/>
      <c r="G252" s="4"/>
    </row>
    <row r="253" spans="1:7" ht="15.75" customHeight="1" x14ac:dyDescent="0.35">
      <c r="A253" s="4"/>
      <c r="B253" s="4"/>
      <c r="C253" s="4"/>
      <c r="D253" s="4"/>
      <c r="E253" s="4"/>
      <c r="F253" s="4"/>
      <c r="G253" s="4"/>
    </row>
    <row r="254" spans="1:7" ht="15.75" customHeight="1" x14ac:dyDescent="0.35">
      <c r="A254" s="4"/>
      <c r="B254" s="4"/>
      <c r="C254" s="4"/>
      <c r="D254" s="4"/>
      <c r="E254" s="4"/>
      <c r="F254" s="4"/>
      <c r="G254" s="4"/>
    </row>
    <row r="255" spans="1:7" ht="15.75" customHeight="1" x14ac:dyDescent="0.35">
      <c r="A255" s="4"/>
      <c r="B255" s="4"/>
      <c r="C255" s="4"/>
      <c r="D255" s="4"/>
      <c r="E255" s="4"/>
      <c r="F255" s="4"/>
      <c r="G255" s="4"/>
    </row>
    <row r="256" spans="1:7" ht="15.75" customHeight="1" x14ac:dyDescent="0.35">
      <c r="A256" s="4"/>
      <c r="B256" s="4"/>
      <c r="C256" s="4"/>
      <c r="D256" s="4"/>
      <c r="E256" s="4"/>
      <c r="F256" s="4"/>
      <c r="G256" s="4"/>
    </row>
    <row r="257" spans="1:7" ht="15.75" customHeight="1" x14ac:dyDescent="0.35">
      <c r="A257" s="4"/>
      <c r="B257" s="4"/>
      <c r="C257" s="4"/>
      <c r="D257" s="4"/>
      <c r="E257" s="4"/>
      <c r="F257" s="4"/>
      <c r="G257" s="4"/>
    </row>
    <row r="258" spans="1:7" ht="15.75" customHeight="1" x14ac:dyDescent="0.35">
      <c r="A258" s="4"/>
      <c r="B258" s="4"/>
      <c r="C258" s="4"/>
      <c r="D258" s="4"/>
      <c r="E258" s="4"/>
      <c r="F258" s="4"/>
      <c r="G258" s="4"/>
    </row>
    <row r="259" spans="1:7" ht="15.75" customHeight="1" x14ac:dyDescent="0.35">
      <c r="A259" s="4"/>
      <c r="B259" s="4"/>
      <c r="C259" s="4"/>
      <c r="D259" s="4"/>
      <c r="E259" s="4"/>
      <c r="F259" s="4"/>
      <c r="G259" s="4"/>
    </row>
    <row r="260" spans="1:7" ht="15.75" customHeight="1" x14ac:dyDescent="0.35">
      <c r="A260" s="4"/>
      <c r="B260" s="4"/>
      <c r="C260" s="4"/>
      <c r="D260" s="4"/>
      <c r="E260" s="4"/>
      <c r="F260" s="4"/>
      <c r="G260" s="4"/>
    </row>
    <row r="261" spans="1:7" ht="15.75" customHeight="1" x14ac:dyDescent="0.35">
      <c r="A261" s="4"/>
      <c r="B261" s="4"/>
      <c r="C261" s="4"/>
      <c r="D261" s="4"/>
      <c r="E261" s="4"/>
      <c r="F261" s="4"/>
      <c r="G261" s="4"/>
    </row>
    <row r="262" spans="1:7" ht="15.75" customHeight="1" x14ac:dyDescent="0.35">
      <c r="A262" s="4"/>
      <c r="B262" s="4"/>
      <c r="C262" s="4"/>
      <c r="D262" s="4"/>
      <c r="E262" s="4"/>
      <c r="F262" s="4"/>
      <c r="G262" s="4"/>
    </row>
    <row r="263" spans="1:7" ht="15.75" customHeight="1" x14ac:dyDescent="0.35">
      <c r="A263" s="4"/>
      <c r="B263" s="4"/>
      <c r="C263" s="4"/>
      <c r="D263" s="4"/>
      <c r="E263" s="4"/>
      <c r="F263" s="4"/>
      <c r="G263" s="4"/>
    </row>
    <row r="264" spans="1:7" ht="15.75" customHeight="1" x14ac:dyDescent="0.35">
      <c r="A264" s="4"/>
      <c r="B264" s="4"/>
      <c r="C264" s="4"/>
      <c r="D264" s="4"/>
      <c r="E264" s="4"/>
      <c r="F264" s="4"/>
      <c r="G264" s="4"/>
    </row>
    <row r="265" spans="1:7" ht="15.75" customHeight="1" x14ac:dyDescent="0.35">
      <c r="A265" s="4"/>
      <c r="B265" s="4"/>
      <c r="C265" s="4"/>
      <c r="D265" s="4"/>
      <c r="E265" s="4"/>
      <c r="F265" s="4"/>
      <c r="G265" s="4"/>
    </row>
    <row r="266" spans="1:7" ht="15.75" customHeight="1" x14ac:dyDescent="0.35">
      <c r="A266" s="4"/>
      <c r="B266" s="4"/>
      <c r="C266" s="4"/>
      <c r="D266" s="4"/>
      <c r="E266" s="4"/>
      <c r="F266" s="4"/>
      <c r="G266" s="4"/>
    </row>
    <row r="267" spans="1:7" ht="15.75" customHeight="1" x14ac:dyDescent="0.35">
      <c r="A267" s="4"/>
      <c r="B267" s="4"/>
      <c r="C267" s="4"/>
      <c r="D267" s="4"/>
      <c r="E267" s="4"/>
      <c r="F267" s="4"/>
      <c r="G267" s="4"/>
    </row>
    <row r="268" spans="1:7" ht="15.75" customHeight="1" x14ac:dyDescent="0.35">
      <c r="A268" s="4"/>
      <c r="B268" s="4"/>
      <c r="C268" s="4"/>
      <c r="D268" s="4"/>
      <c r="E268" s="4"/>
      <c r="F268" s="4"/>
      <c r="G268" s="4"/>
    </row>
    <row r="269" spans="1:7" ht="15.75" customHeight="1" x14ac:dyDescent="0.35">
      <c r="A269" s="4"/>
      <c r="B269" s="4"/>
      <c r="C269" s="4"/>
      <c r="D269" s="4"/>
      <c r="E269" s="4"/>
      <c r="F269" s="4"/>
      <c r="G269" s="4"/>
    </row>
    <row r="270" spans="1:7" ht="15.75" customHeight="1" x14ac:dyDescent="0.35">
      <c r="A270" s="4"/>
      <c r="B270" s="4"/>
      <c r="C270" s="4"/>
      <c r="D270" s="4"/>
      <c r="E270" s="4"/>
      <c r="F270" s="4"/>
      <c r="G270" s="4"/>
    </row>
    <row r="271" spans="1:7" ht="15.75" customHeight="1" x14ac:dyDescent="0.35">
      <c r="A271" s="4"/>
      <c r="B271" s="4"/>
      <c r="C271" s="4"/>
      <c r="D271" s="4"/>
      <c r="E271" s="4"/>
      <c r="F271" s="4"/>
      <c r="G271" s="4"/>
    </row>
    <row r="272" spans="1:7" ht="15.75" customHeight="1" x14ac:dyDescent="0.35">
      <c r="A272" s="4"/>
      <c r="B272" s="4"/>
      <c r="C272" s="4"/>
      <c r="D272" s="4"/>
      <c r="E272" s="4"/>
      <c r="F272" s="4"/>
      <c r="G272" s="4"/>
    </row>
    <row r="273" spans="1:7" ht="15.75" customHeight="1" x14ac:dyDescent="0.35">
      <c r="A273" s="4"/>
      <c r="B273" s="4"/>
      <c r="C273" s="4"/>
      <c r="D273" s="4"/>
      <c r="E273" s="4"/>
      <c r="F273" s="4"/>
      <c r="G273" s="4"/>
    </row>
    <row r="274" spans="1:7" ht="15.75" customHeight="1" x14ac:dyDescent="0.35">
      <c r="A274" s="4"/>
      <c r="B274" s="4"/>
      <c r="C274" s="4"/>
      <c r="D274" s="4"/>
      <c r="E274" s="4"/>
      <c r="F274" s="4"/>
      <c r="G274" s="4"/>
    </row>
    <row r="275" spans="1:7" ht="15.75" customHeight="1" x14ac:dyDescent="0.35">
      <c r="A275" s="4"/>
      <c r="B275" s="4"/>
      <c r="C275" s="4"/>
      <c r="D275" s="4"/>
      <c r="E275" s="4"/>
      <c r="F275" s="4"/>
      <c r="G275" s="4"/>
    </row>
    <row r="276" spans="1:7" ht="15.75" customHeight="1" x14ac:dyDescent="0.35">
      <c r="A276" s="4"/>
      <c r="B276" s="4"/>
      <c r="C276" s="4"/>
      <c r="D276" s="4"/>
      <c r="E276" s="4"/>
      <c r="F276" s="4"/>
      <c r="G276" s="4"/>
    </row>
    <row r="277" spans="1:7" ht="15.75" customHeight="1" x14ac:dyDescent="0.35">
      <c r="A277" s="4"/>
      <c r="B277" s="4"/>
      <c r="C277" s="4"/>
      <c r="D277" s="4"/>
      <c r="E277" s="4"/>
      <c r="F277" s="4"/>
      <c r="G277" s="4"/>
    </row>
    <row r="278" spans="1:7" ht="15.75" customHeight="1" x14ac:dyDescent="0.35">
      <c r="A278" s="4"/>
      <c r="B278" s="4"/>
      <c r="C278" s="4"/>
      <c r="D278" s="4"/>
      <c r="E278" s="4"/>
      <c r="F278" s="4"/>
      <c r="G278" s="4"/>
    </row>
    <row r="279" spans="1:7" ht="15.75" customHeight="1" x14ac:dyDescent="0.35">
      <c r="A279" s="4"/>
      <c r="B279" s="4"/>
      <c r="C279" s="4"/>
      <c r="D279" s="4"/>
      <c r="E279" s="4"/>
      <c r="F279" s="4"/>
      <c r="G279" s="4"/>
    </row>
    <row r="280" spans="1:7" ht="15.75" customHeight="1" x14ac:dyDescent="0.35">
      <c r="A280" s="4"/>
      <c r="B280" s="4"/>
      <c r="C280" s="4"/>
      <c r="D280" s="4"/>
      <c r="E280" s="4"/>
      <c r="F280" s="4"/>
      <c r="G280" s="4"/>
    </row>
    <row r="281" spans="1:7" ht="15.75" customHeight="1" x14ac:dyDescent="0.35">
      <c r="A281" s="4"/>
      <c r="B281" s="4"/>
      <c r="C281" s="4"/>
      <c r="D281" s="4"/>
      <c r="E281" s="4"/>
      <c r="F281" s="4"/>
      <c r="G281" s="4"/>
    </row>
    <row r="282" spans="1:7" ht="15.75" customHeight="1" x14ac:dyDescent="0.35">
      <c r="A282" s="4"/>
      <c r="B282" s="4"/>
      <c r="C282" s="4"/>
      <c r="D282" s="4"/>
      <c r="E282" s="4"/>
      <c r="F282" s="4"/>
      <c r="G282" s="4"/>
    </row>
    <row r="283" spans="1:7" ht="15.75" customHeight="1" x14ac:dyDescent="0.35">
      <c r="A283" s="4"/>
      <c r="B283" s="4"/>
      <c r="C283" s="4"/>
      <c r="D283" s="4"/>
      <c r="E283" s="4"/>
      <c r="F283" s="4"/>
      <c r="G283" s="4"/>
    </row>
    <row r="284" spans="1:7" ht="15.75" customHeight="1" x14ac:dyDescent="0.35">
      <c r="A284" s="4"/>
      <c r="B284" s="4"/>
      <c r="C284" s="4"/>
      <c r="D284" s="4"/>
      <c r="E284" s="4"/>
      <c r="F284" s="4"/>
      <c r="G284" s="4"/>
    </row>
    <row r="285" spans="1:7" ht="15.75" customHeight="1" x14ac:dyDescent="0.35">
      <c r="A285" s="4"/>
      <c r="B285" s="4"/>
      <c r="C285" s="4"/>
      <c r="D285" s="4"/>
      <c r="E285" s="4"/>
      <c r="F285" s="4"/>
      <c r="G285" s="4"/>
    </row>
    <row r="286" spans="1:7" ht="15.75" customHeight="1" x14ac:dyDescent="0.35">
      <c r="A286" s="4"/>
      <c r="B286" s="4"/>
      <c r="C286" s="4"/>
      <c r="D286" s="4"/>
      <c r="E286" s="4"/>
      <c r="F286" s="4"/>
      <c r="G286" s="4"/>
    </row>
    <row r="287" spans="1:7" ht="15.75" customHeight="1" x14ac:dyDescent="0.35">
      <c r="A287" s="4"/>
      <c r="B287" s="4"/>
      <c r="C287" s="4"/>
      <c r="D287" s="4"/>
      <c r="E287" s="4"/>
      <c r="F287" s="4"/>
      <c r="G287" s="4"/>
    </row>
    <row r="288" spans="1:7" ht="15.75" customHeight="1" x14ac:dyDescent="0.35">
      <c r="A288" s="4"/>
      <c r="B288" s="4"/>
      <c r="C288" s="4"/>
      <c r="D288" s="4"/>
      <c r="E288" s="4"/>
      <c r="F288" s="4"/>
      <c r="G288" s="4"/>
    </row>
    <row r="289" spans="1:7" ht="15.75" customHeight="1" x14ac:dyDescent="0.35">
      <c r="A289" s="4"/>
      <c r="B289" s="4"/>
      <c r="C289" s="4"/>
      <c r="D289" s="4"/>
      <c r="E289" s="4"/>
      <c r="F289" s="4"/>
      <c r="G289" s="4"/>
    </row>
    <row r="290" spans="1:7" ht="15.75" customHeight="1" x14ac:dyDescent="0.35">
      <c r="A290" s="4"/>
      <c r="B290" s="4"/>
      <c r="C290" s="4"/>
      <c r="D290" s="4"/>
      <c r="E290" s="4"/>
      <c r="F290" s="4"/>
      <c r="G290" s="4"/>
    </row>
    <row r="291" spans="1:7" ht="15.75" customHeight="1" x14ac:dyDescent="0.35">
      <c r="A291" s="4"/>
      <c r="B291" s="4"/>
      <c r="C291" s="4"/>
      <c r="D291" s="4"/>
      <c r="E291" s="4"/>
      <c r="F291" s="4"/>
      <c r="G291" s="4"/>
    </row>
    <row r="292" spans="1:7" ht="15.75" customHeight="1" x14ac:dyDescent="0.35">
      <c r="A292" s="4"/>
      <c r="B292" s="4"/>
      <c r="C292" s="4"/>
      <c r="D292" s="4"/>
      <c r="E292" s="4"/>
      <c r="F292" s="4"/>
      <c r="G292" s="4"/>
    </row>
    <row r="293" spans="1:7" ht="15.75" customHeight="1" x14ac:dyDescent="0.35">
      <c r="A293" s="4"/>
      <c r="B293" s="4"/>
      <c r="C293" s="4"/>
      <c r="D293" s="4"/>
      <c r="E293" s="4"/>
      <c r="F293" s="4"/>
      <c r="G293" s="4"/>
    </row>
    <row r="294" spans="1:7" ht="15.75" customHeight="1" x14ac:dyDescent="0.35">
      <c r="A294" s="4"/>
      <c r="B294" s="4"/>
      <c r="C294" s="4"/>
      <c r="D294" s="4"/>
      <c r="E294" s="4"/>
      <c r="F294" s="4"/>
      <c r="G294" s="4"/>
    </row>
    <row r="295" spans="1:7" ht="15.75" customHeight="1" x14ac:dyDescent="0.35">
      <c r="A295" s="4"/>
      <c r="B295" s="4"/>
      <c r="C295" s="4"/>
      <c r="D295" s="4"/>
      <c r="E295" s="4"/>
      <c r="F295" s="4"/>
      <c r="G295" s="4"/>
    </row>
    <row r="296" spans="1:7" ht="15.75" customHeight="1" x14ac:dyDescent="0.35">
      <c r="A296" s="4"/>
      <c r="B296" s="4"/>
      <c r="C296" s="4"/>
      <c r="D296" s="4"/>
      <c r="E296" s="4"/>
      <c r="F296" s="4"/>
      <c r="G296" s="4"/>
    </row>
    <row r="297" spans="1:7" ht="15.75" customHeight="1" x14ac:dyDescent="0.35">
      <c r="A297" s="4"/>
      <c r="B297" s="4"/>
      <c r="C297" s="4"/>
      <c r="D297" s="4"/>
      <c r="E297" s="4"/>
      <c r="F297" s="4"/>
      <c r="G297" s="4"/>
    </row>
    <row r="298" spans="1:7" ht="15.75" customHeight="1" x14ac:dyDescent="0.35">
      <c r="A298" s="4"/>
      <c r="B298" s="4"/>
      <c r="C298" s="4"/>
      <c r="D298" s="4"/>
      <c r="E298" s="4"/>
      <c r="F298" s="4"/>
      <c r="G298" s="4"/>
    </row>
    <row r="299" spans="1:7" ht="15.75" customHeight="1" x14ac:dyDescent="0.35">
      <c r="A299" s="4"/>
      <c r="B299" s="4"/>
      <c r="C299" s="4"/>
      <c r="D299" s="4"/>
      <c r="E299" s="4"/>
      <c r="F299" s="4"/>
      <c r="G299" s="4"/>
    </row>
    <row r="300" spans="1:7" ht="15.75" customHeight="1" x14ac:dyDescent="0.35">
      <c r="A300" s="4"/>
      <c r="B300" s="4"/>
      <c r="C300" s="4"/>
      <c r="D300" s="4"/>
      <c r="E300" s="4"/>
      <c r="F300" s="4"/>
      <c r="G300" s="4"/>
    </row>
    <row r="301" spans="1:7" ht="15.75" customHeight="1" x14ac:dyDescent="0.35">
      <c r="A301" s="4"/>
      <c r="B301" s="4"/>
      <c r="C301" s="4"/>
      <c r="D301" s="4"/>
      <c r="E301" s="4"/>
      <c r="F301" s="4"/>
      <c r="G301" s="4"/>
    </row>
    <row r="302" spans="1:7" ht="15.75" customHeight="1" x14ac:dyDescent="0.35">
      <c r="A302" s="4"/>
      <c r="B302" s="4"/>
      <c r="C302" s="4"/>
      <c r="D302" s="4"/>
      <c r="E302" s="4"/>
      <c r="F302" s="4"/>
      <c r="G302" s="4"/>
    </row>
    <row r="303" spans="1:7" ht="15.75" customHeight="1" x14ac:dyDescent="0.35">
      <c r="A303" s="4"/>
      <c r="B303" s="4"/>
      <c r="C303" s="4"/>
      <c r="D303" s="4"/>
      <c r="E303" s="4"/>
      <c r="F303" s="4"/>
      <c r="G303" s="4"/>
    </row>
    <row r="304" spans="1:7" ht="15.75" customHeight="1" x14ac:dyDescent="0.35">
      <c r="A304" s="4"/>
      <c r="B304" s="4"/>
      <c r="C304" s="4"/>
      <c r="D304" s="4"/>
      <c r="E304" s="4"/>
      <c r="F304" s="4"/>
      <c r="G304" s="4"/>
    </row>
    <row r="305" spans="1:7" ht="15.75" customHeight="1" x14ac:dyDescent="0.35">
      <c r="A305" s="4"/>
      <c r="B305" s="4"/>
      <c r="C305" s="4"/>
      <c r="D305" s="4"/>
      <c r="E305" s="4"/>
      <c r="F305" s="4"/>
      <c r="G305" s="4"/>
    </row>
    <row r="306" spans="1:7" ht="15.75" customHeight="1" x14ac:dyDescent="0.35">
      <c r="A306" s="4"/>
      <c r="B306" s="4"/>
      <c r="C306" s="4"/>
      <c r="D306" s="4"/>
      <c r="E306" s="4"/>
      <c r="F306" s="4"/>
      <c r="G306" s="4"/>
    </row>
    <row r="307" spans="1:7" ht="15.75" customHeight="1" x14ac:dyDescent="0.35">
      <c r="A307" s="4"/>
      <c r="B307" s="4"/>
      <c r="C307" s="4"/>
      <c r="D307" s="4"/>
      <c r="E307" s="4"/>
      <c r="F307" s="4"/>
      <c r="G307" s="4"/>
    </row>
    <row r="308" spans="1:7" ht="15.75" customHeight="1" x14ac:dyDescent="0.35">
      <c r="A308" s="4"/>
      <c r="B308" s="4"/>
      <c r="C308" s="4"/>
      <c r="D308" s="4"/>
      <c r="E308" s="4"/>
      <c r="F308" s="4"/>
      <c r="G308" s="4"/>
    </row>
    <row r="309" spans="1:7" ht="15.75" customHeight="1" x14ac:dyDescent="0.35">
      <c r="A309" s="4"/>
      <c r="B309" s="4"/>
      <c r="C309" s="4"/>
      <c r="D309" s="4"/>
      <c r="E309" s="4"/>
      <c r="F309" s="4"/>
      <c r="G309" s="4"/>
    </row>
    <row r="310" spans="1:7" ht="15.75" customHeight="1" x14ac:dyDescent="0.35">
      <c r="A310" s="4"/>
      <c r="B310" s="4"/>
      <c r="C310" s="4"/>
      <c r="D310" s="4"/>
      <c r="E310" s="4"/>
      <c r="F310" s="4"/>
      <c r="G310" s="4"/>
    </row>
    <row r="311" spans="1:7" ht="15.75" customHeight="1" x14ac:dyDescent="0.35">
      <c r="A311" s="4"/>
      <c r="B311" s="4"/>
      <c r="C311" s="4"/>
      <c r="D311" s="4"/>
      <c r="E311" s="4"/>
      <c r="F311" s="4"/>
      <c r="G311" s="4"/>
    </row>
    <row r="312" spans="1:7" ht="15.75" customHeight="1" x14ac:dyDescent="0.35">
      <c r="A312" s="4"/>
      <c r="B312" s="4"/>
      <c r="C312" s="4"/>
      <c r="D312" s="4"/>
      <c r="E312" s="4"/>
      <c r="F312" s="4"/>
      <c r="G312" s="4"/>
    </row>
    <row r="313" spans="1:7" ht="15.75" customHeight="1" x14ac:dyDescent="0.35">
      <c r="A313" s="4"/>
      <c r="B313" s="4"/>
      <c r="C313" s="4"/>
      <c r="D313" s="4"/>
      <c r="E313" s="4"/>
      <c r="F313" s="4"/>
      <c r="G313" s="4"/>
    </row>
    <row r="314" spans="1:7" ht="15.75" customHeight="1" x14ac:dyDescent="0.35">
      <c r="A314" s="4"/>
      <c r="B314" s="4"/>
      <c r="C314" s="4"/>
      <c r="D314" s="4"/>
      <c r="E314" s="4"/>
      <c r="F314" s="4"/>
      <c r="G314" s="4"/>
    </row>
    <row r="315" spans="1:7" ht="15.75" customHeight="1" x14ac:dyDescent="0.35">
      <c r="A315" s="4"/>
      <c r="B315" s="4"/>
      <c r="C315" s="4"/>
      <c r="D315" s="4"/>
      <c r="E315" s="4"/>
      <c r="F315" s="4"/>
      <c r="G315" s="4"/>
    </row>
    <row r="316" spans="1:7" ht="15.75" customHeight="1" x14ac:dyDescent="0.35">
      <c r="A316" s="4"/>
      <c r="B316" s="4"/>
      <c r="C316" s="4"/>
      <c r="D316" s="4"/>
      <c r="E316" s="4"/>
      <c r="F316" s="4"/>
      <c r="G316" s="4"/>
    </row>
    <row r="317" spans="1:7" ht="15.75" customHeight="1" x14ac:dyDescent="0.35">
      <c r="A317" s="4"/>
      <c r="B317" s="4"/>
      <c r="C317" s="4"/>
      <c r="D317" s="4"/>
      <c r="E317" s="4"/>
      <c r="F317" s="4"/>
      <c r="G317" s="4"/>
    </row>
    <row r="318" spans="1:7" ht="15.75" customHeight="1" x14ac:dyDescent="0.35">
      <c r="A318" s="4"/>
      <c r="B318" s="4"/>
      <c r="C318" s="4"/>
      <c r="D318" s="4"/>
      <c r="E318" s="4"/>
      <c r="F318" s="4"/>
      <c r="G318" s="4"/>
    </row>
    <row r="319" spans="1:7" ht="15.75" customHeight="1" x14ac:dyDescent="0.35">
      <c r="A319" s="4"/>
      <c r="B319" s="4"/>
      <c r="C319" s="4"/>
      <c r="D319" s="4"/>
      <c r="E319" s="4"/>
      <c r="F319" s="4"/>
      <c r="G319" s="4"/>
    </row>
    <row r="320" spans="1:7" ht="15.75" customHeight="1" x14ac:dyDescent="0.35">
      <c r="A320" s="4"/>
      <c r="B320" s="4"/>
      <c r="C320" s="4"/>
      <c r="D320" s="4"/>
      <c r="E320" s="4"/>
      <c r="F320" s="4"/>
      <c r="G320" s="4"/>
    </row>
    <row r="321" spans="1:7" ht="15.75" customHeight="1" x14ac:dyDescent="0.35">
      <c r="A321" s="4"/>
      <c r="B321" s="4"/>
      <c r="C321" s="4"/>
      <c r="D321" s="4"/>
      <c r="E321" s="4"/>
      <c r="F321" s="4"/>
      <c r="G321" s="4"/>
    </row>
    <row r="322" spans="1:7" ht="15.75" customHeight="1" x14ac:dyDescent="0.35">
      <c r="A322" s="4"/>
      <c r="B322" s="4"/>
      <c r="C322" s="4"/>
      <c r="D322" s="4"/>
      <c r="E322" s="4"/>
      <c r="F322" s="4"/>
      <c r="G322" s="4"/>
    </row>
    <row r="323" spans="1:7" ht="15.75" customHeight="1" x14ac:dyDescent="0.35">
      <c r="A323" s="4"/>
      <c r="B323" s="4"/>
      <c r="C323" s="4"/>
      <c r="D323" s="4"/>
      <c r="E323" s="4"/>
      <c r="F323" s="4"/>
      <c r="G323" s="4"/>
    </row>
    <row r="324" spans="1:7" ht="15.75" customHeight="1" x14ac:dyDescent="0.35">
      <c r="A324" s="4"/>
      <c r="B324" s="4"/>
      <c r="C324" s="4"/>
      <c r="D324" s="4"/>
      <c r="E324" s="4"/>
      <c r="F324" s="4"/>
      <c r="G324" s="4"/>
    </row>
    <row r="325" spans="1:7" ht="15.75" customHeight="1" x14ac:dyDescent="0.35">
      <c r="A325" s="4"/>
      <c r="B325" s="4"/>
      <c r="C325" s="4"/>
      <c r="D325" s="4"/>
      <c r="E325" s="4"/>
      <c r="F325" s="4"/>
      <c r="G325" s="4"/>
    </row>
    <row r="326" spans="1:7" ht="15.75" customHeight="1" x14ac:dyDescent="0.35">
      <c r="A326" s="4"/>
      <c r="B326" s="4"/>
      <c r="C326" s="4"/>
      <c r="D326" s="4"/>
      <c r="E326" s="4"/>
      <c r="F326" s="4"/>
      <c r="G326" s="4"/>
    </row>
    <row r="327" spans="1:7" ht="15.75" customHeight="1" x14ac:dyDescent="0.35">
      <c r="A327" s="4"/>
      <c r="B327" s="4"/>
      <c r="C327" s="4"/>
      <c r="D327" s="4"/>
      <c r="E327" s="4"/>
      <c r="F327" s="4"/>
      <c r="G327" s="4"/>
    </row>
    <row r="328" spans="1:7" ht="15.75" customHeight="1" x14ac:dyDescent="0.35">
      <c r="A328" s="4"/>
      <c r="B328" s="4"/>
      <c r="C328" s="4"/>
      <c r="D328" s="4"/>
      <c r="E328" s="4"/>
      <c r="F328" s="4"/>
      <c r="G328" s="4"/>
    </row>
    <row r="329" spans="1:7" ht="15.75" customHeight="1" x14ac:dyDescent="0.35">
      <c r="A329" s="4"/>
      <c r="B329" s="4"/>
      <c r="C329" s="4"/>
      <c r="D329" s="4"/>
      <c r="E329" s="4"/>
      <c r="F329" s="4"/>
      <c r="G329" s="4"/>
    </row>
    <row r="330" spans="1:7" ht="15.75" customHeight="1" x14ac:dyDescent="0.35">
      <c r="A330" s="4"/>
      <c r="B330" s="4"/>
      <c r="C330" s="4"/>
      <c r="D330" s="4"/>
      <c r="E330" s="4"/>
      <c r="F330" s="4"/>
      <c r="G330" s="4"/>
    </row>
    <row r="331" spans="1:7" ht="15.75" customHeight="1" x14ac:dyDescent="0.35">
      <c r="A331" s="4"/>
      <c r="B331" s="4"/>
      <c r="C331" s="4"/>
      <c r="D331" s="4"/>
      <c r="E331" s="4"/>
      <c r="F331" s="4"/>
      <c r="G331" s="4"/>
    </row>
    <row r="332" spans="1:7" ht="15.75" customHeight="1" x14ac:dyDescent="0.35">
      <c r="A332" s="4"/>
      <c r="B332" s="4"/>
      <c r="C332" s="4"/>
      <c r="D332" s="4"/>
      <c r="E332" s="4"/>
      <c r="F332" s="4"/>
      <c r="G332" s="4"/>
    </row>
    <row r="333" spans="1:7" ht="15.75" customHeight="1" x14ac:dyDescent="0.35">
      <c r="A333" s="4"/>
      <c r="B333" s="4"/>
      <c r="C333" s="4"/>
      <c r="D333" s="4"/>
      <c r="E333" s="4"/>
      <c r="F333" s="4"/>
      <c r="G333" s="4"/>
    </row>
    <row r="334" spans="1:7" ht="15.75" customHeight="1" x14ac:dyDescent="0.35">
      <c r="A334" s="4"/>
      <c r="B334" s="4"/>
      <c r="C334" s="4"/>
      <c r="D334" s="4"/>
      <c r="E334" s="4"/>
      <c r="F334" s="4"/>
      <c r="G334" s="4"/>
    </row>
    <row r="335" spans="1:7" ht="15.75" customHeight="1" x14ac:dyDescent="0.35">
      <c r="A335" s="4"/>
      <c r="B335" s="4"/>
      <c r="C335" s="4"/>
      <c r="D335" s="4"/>
      <c r="E335" s="4"/>
      <c r="F335" s="4"/>
      <c r="G335" s="4"/>
    </row>
    <row r="336" spans="1:7" ht="15.75" customHeight="1" x14ac:dyDescent="0.35">
      <c r="A336" s="4"/>
      <c r="B336" s="4"/>
      <c r="C336" s="4"/>
      <c r="D336" s="4"/>
      <c r="E336" s="4"/>
      <c r="F336" s="4"/>
      <c r="G336" s="4"/>
    </row>
    <row r="337" spans="1:7" ht="15.75" customHeight="1" x14ac:dyDescent="0.35">
      <c r="A337" s="4"/>
      <c r="B337" s="4"/>
      <c r="C337" s="4"/>
      <c r="D337" s="4"/>
      <c r="E337" s="4"/>
      <c r="F337" s="4"/>
      <c r="G337" s="4"/>
    </row>
    <row r="338" spans="1:7" ht="15.75" customHeight="1" x14ac:dyDescent="0.35">
      <c r="A338" s="4"/>
      <c r="B338" s="4"/>
      <c r="C338" s="4"/>
      <c r="D338" s="4"/>
      <c r="E338" s="4"/>
      <c r="F338" s="4"/>
      <c r="G338" s="4"/>
    </row>
    <row r="339" spans="1:7" ht="15.75" customHeight="1" x14ac:dyDescent="0.35">
      <c r="A339" s="4"/>
      <c r="B339" s="4"/>
      <c r="C339" s="4"/>
      <c r="D339" s="4"/>
      <c r="E339" s="4"/>
      <c r="F339" s="4"/>
      <c r="G339" s="4"/>
    </row>
    <row r="340" spans="1:7" ht="15.75" customHeight="1" x14ac:dyDescent="0.35">
      <c r="A340" s="4"/>
      <c r="B340" s="4"/>
      <c r="C340" s="4"/>
      <c r="D340" s="4"/>
      <c r="E340" s="4"/>
      <c r="F340" s="4"/>
      <c r="G340" s="4"/>
    </row>
    <row r="341" spans="1:7" ht="15.75" customHeight="1" x14ac:dyDescent="0.35">
      <c r="A341" s="4"/>
      <c r="B341" s="4"/>
      <c r="C341" s="4"/>
      <c r="D341" s="4"/>
      <c r="E341" s="4"/>
      <c r="F341" s="4"/>
      <c r="G341" s="4"/>
    </row>
    <row r="342" spans="1:7" ht="15.75" customHeight="1" x14ac:dyDescent="0.35">
      <c r="A342" s="4"/>
      <c r="B342" s="4"/>
      <c r="C342" s="4"/>
      <c r="D342" s="4"/>
      <c r="E342" s="4"/>
      <c r="F342" s="4"/>
      <c r="G342" s="4"/>
    </row>
    <row r="343" spans="1:7" ht="15.75" customHeight="1" x14ac:dyDescent="0.35">
      <c r="A343" s="4"/>
      <c r="B343" s="4"/>
      <c r="C343" s="4"/>
      <c r="D343" s="4"/>
      <c r="E343" s="4"/>
      <c r="F343" s="4"/>
      <c r="G343" s="4"/>
    </row>
    <row r="344" spans="1:7" ht="15.75" customHeight="1" x14ac:dyDescent="0.35">
      <c r="A344" s="4"/>
      <c r="B344" s="4"/>
      <c r="C344" s="4"/>
      <c r="D344" s="4"/>
      <c r="E344" s="4"/>
      <c r="F344" s="4"/>
      <c r="G344" s="4"/>
    </row>
    <row r="345" spans="1:7" ht="15.75" customHeight="1" x14ac:dyDescent="0.35">
      <c r="A345" s="4"/>
      <c r="B345" s="4"/>
      <c r="C345" s="4"/>
      <c r="D345" s="4"/>
      <c r="E345" s="4"/>
      <c r="F345" s="4"/>
      <c r="G345" s="4"/>
    </row>
    <row r="346" spans="1:7" ht="15.75" customHeight="1" x14ac:dyDescent="0.35">
      <c r="A346" s="4"/>
      <c r="B346" s="4"/>
      <c r="C346" s="4"/>
      <c r="D346" s="4"/>
      <c r="E346" s="4"/>
      <c r="F346" s="4"/>
      <c r="G346" s="4"/>
    </row>
    <row r="347" spans="1:7" ht="15.75" customHeight="1" x14ac:dyDescent="0.35">
      <c r="A347" s="4"/>
      <c r="B347" s="4"/>
      <c r="C347" s="4"/>
      <c r="D347" s="4"/>
      <c r="E347" s="4"/>
      <c r="F347" s="4"/>
      <c r="G347" s="4"/>
    </row>
    <row r="348" spans="1:7" ht="15.75" customHeight="1" x14ac:dyDescent="0.35">
      <c r="A348" s="4"/>
      <c r="B348" s="4"/>
      <c r="C348" s="4"/>
      <c r="D348" s="4"/>
      <c r="E348" s="4"/>
      <c r="F348" s="4"/>
      <c r="G348" s="4"/>
    </row>
    <row r="349" spans="1:7" ht="15.75" customHeight="1" x14ac:dyDescent="0.35">
      <c r="A349" s="4"/>
      <c r="B349" s="4"/>
      <c r="C349" s="4"/>
      <c r="D349" s="4"/>
      <c r="E349" s="4"/>
      <c r="F349" s="4"/>
      <c r="G349" s="4"/>
    </row>
    <row r="350" spans="1:7" ht="15.75" customHeight="1" x14ac:dyDescent="0.35">
      <c r="A350" s="4"/>
      <c r="B350" s="4"/>
      <c r="C350" s="4"/>
      <c r="D350" s="4"/>
      <c r="E350" s="4"/>
      <c r="F350" s="4"/>
      <c r="G350" s="4"/>
    </row>
    <row r="351" spans="1:7" ht="15.75" customHeight="1" x14ac:dyDescent="0.35">
      <c r="A351" s="4"/>
      <c r="B351" s="4"/>
      <c r="C351" s="4"/>
      <c r="D351" s="4"/>
      <c r="E351" s="4"/>
      <c r="F351" s="4"/>
      <c r="G351" s="4"/>
    </row>
    <row r="352" spans="1:7" ht="15.75" customHeight="1" x14ac:dyDescent="0.35">
      <c r="A352" s="4"/>
      <c r="B352" s="4"/>
      <c r="C352" s="4"/>
      <c r="D352" s="4"/>
      <c r="E352" s="4"/>
      <c r="F352" s="4"/>
      <c r="G352" s="4"/>
    </row>
    <row r="353" spans="1:7" ht="15.75" customHeight="1" x14ac:dyDescent="0.35">
      <c r="A353" s="4"/>
      <c r="B353" s="4"/>
      <c r="C353" s="4"/>
      <c r="D353" s="4"/>
      <c r="E353" s="4"/>
      <c r="F353" s="4"/>
      <c r="G353" s="4"/>
    </row>
    <row r="354" spans="1:7" ht="15.75" customHeight="1" x14ac:dyDescent="0.35">
      <c r="A354" s="4"/>
      <c r="B354" s="4"/>
      <c r="C354" s="4"/>
      <c r="D354" s="4"/>
      <c r="E354" s="4"/>
      <c r="F354" s="4"/>
      <c r="G354" s="4"/>
    </row>
    <row r="355" spans="1:7" ht="15.75" customHeight="1" x14ac:dyDescent="0.35">
      <c r="A355" s="4"/>
      <c r="B355" s="4"/>
      <c r="C355" s="4"/>
      <c r="D355" s="4"/>
      <c r="E355" s="4"/>
      <c r="F355" s="4"/>
      <c r="G355" s="4"/>
    </row>
    <row r="356" spans="1:7" ht="15.75" customHeight="1" x14ac:dyDescent="0.35">
      <c r="A356" s="4"/>
      <c r="B356" s="4"/>
      <c r="C356" s="4"/>
      <c r="D356" s="4"/>
      <c r="E356" s="4"/>
      <c r="F356" s="4"/>
      <c r="G356" s="4"/>
    </row>
    <row r="357" spans="1:7" ht="15.75" customHeight="1" x14ac:dyDescent="0.35">
      <c r="A357" s="4"/>
      <c r="B357" s="4"/>
      <c r="C357" s="4"/>
      <c r="D357" s="4"/>
      <c r="E357" s="4"/>
      <c r="F357" s="4"/>
      <c r="G357" s="4"/>
    </row>
    <row r="358" spans="1:7" ht="15.75" customHeight="1" x14ac:dyDescent="0.35">
      <c r="A358" s="4"/>
      <c r="B358" s="4"/>
      <c r="C358" s="4"/>
      <c r="D358" s="4"/>
      <c r="E358" s="4"/>
      <c r="F358" s="4"/>
      <c r="G358" s="4"/>
    </row>
    <row r="359" spans="1:7" ht="15.75" customHeight="1" x14ac:dyDescent="0.35">
      <c r="A359" s="4"/>
      <c r="B359" s="4"/>
      <c r="C359" s="4"/>
      <c r="D359" s="4"/>
      <c r="E359" s="4"/>
      <c r="F359" s="4"/>
      <c r="G359" s="4"/>
    </row>
    <row r="360" spans="1:7" ht="15.75" customHeight="1" x14ac:dyDescent="0.35">
      <c r="A360" s="4"/>
      <c r="B360" s="4"/>
      <c r="C360" s="4"/>
      <c r="D360" s="4"/>
      <c r="E360" s="4"/>
      <c r="F360" s="4"/>
      <c r="G360" s="4"/>
    </row>
    <row r="361" spans="1:7" ht="15.75" customHeight="1" x14ac:dyDescent="0.35">
      <c r="A361" s="4"/>
      <c r="B361" s="4"/>
      <c r="C361" s="4"/>
      <c r="D361" s="4"/>
      <c r="E361" s="4"/>
      <c r="F361" s="4"/>
      <c r="G361" s="4"/>
    </row>
    <row r="362" spans="1:7" ht="15.75" customHeight="1" x14ac:dyDescent="0.35">
      <c r="A362" s="4"/>
      <c r="B362" s="4"/>
      <c r="C362" s="4"/>
      <c r="D362" s="4"/>
      <c r="E362" s="4"/>
      <c r="F362" s="4"/>
      <c r="G362" s="4"/>
    </row>
    <row r="363" spans="1:7" ht="15.75" customHeight="1" x14ac:dyDescent="0.35">
      <c r="A363" s="4"/>
      <c r="B363" s="4"/>
      <c r="C363" s="4"/>
      <c r="D363" s="4"/>
      <c r="E363" s="4"/>
      <c r="F363" s="4"/>
      <c r="G363" s="4"/>
    </row>
    <row r="364" spans="1:7" ht="15.75" customHeight="1" x14ac:dyDescent="0.35">
      <c r="A364" s="4"/>
      <c r="B364" s="4"/>
      <c r="C364" s="4"/>
      <c r="D364" s="4"/>
      <c r="E364" s="4"/>
      <c r="F364" s="4"/>
      <c r="G364" s="4"/>
    </row>
    <row r="365" spans="1:7" ht="15.75" customHeight="1" x14ac:dyDescent="0.35">
      <c r="A365" s="4"/>
      <c r="B365" s="4"/>
      <c r="C365" s="4"/>
      <c r="D365" s="4"/>
      <c r="E365" s="4"/>
      <c r="F365" s="4"/>
      <c r="G365" s="4"/>
    </row>
    <row r="366" spans="1:7" ht="15.75" customHeight="1" x14ac:dyDescent="0.35">
      <c r="A366" s="4"/>
      <c r="B366" s="4"/>
      <c r="C366" s="4"/>
      <c r="D366" s="4"/>
      <c r="E366" s="4"/>
      <c r="F366" s="4"/>
      <c r="G366" s="4"/>
    </row>
    <row r="367" spans="1:7" ht="15.75" customHeight="1" x14ac:dyDescent="0.35">
      <c r="A367" s="4"/>
      <c r="B367" s="4"/>
      <c r="C367" s="4"/>
      <c r="D367" s="4"/>
      <c r="E367" s="4"/>
      <c r="F367" s="4"/>
      <c r="G367" s="4"/>
    </row>
    <row r="368" spans="1:7" ht="15.75" customHeight="1" x14ac:dyDescent="0.35">
      <c r="A368" s="4"/>
      <c r="B368" s="4"/>
      <c r="C368" s="4"/>
      <c r="D368" s="4"/>
      <c r="E368" s="4"/>
      <c r="F368" s="4"/>
      <c r="G368" s="4"/>
    </row>
    <row r="369" spans="1:7" ht="15.75" customHeight="1" x14ac:dyDescent="0.35">
      <c r="A369" s="4"/>
      <c r="B369" s="4"/>
      <c r="C369" s="4"/>
      <c r="D369" s="4"/>
      <c r="E369" s="4"/>
      <c r="F369" s="4"/>
      <c r="G369" s="4"/>
    </row>
    <row r="370" spans="1:7" ht="15.75" customHeight="1" x14ac:dyDescent="0.35">
      <c r="A370" s="4"/>
      <c r="B370" s="4"/>
      <c r="C370" s="4"/>
      <c r="D370" s="4"/>
      <c r="E370" s="4"/>
      <c r="F370" s="4"/>
      <c r="G370" s="4"/>
    </row>
    <row r="371" spans="1:7" ht="15.75" customHeight="1" x14ac:dyDescent="0.35">
      <c r="A371" s="4"/>
      <c r="B371" s="4"/>
      <c r="C371" s="4"/>
      <c r="D371" s="4"/>
      <c r="E371" s="4"/>
      <c r="F371" s="4"/>
      <c r="G371" s="4"/>
    </row>
    <row r="372" spans="1:7" ht="15.75" customHeight="1" x14ac:dyDescent="0.35">
      <c r="A372" s="4"/>
      <c r="B372" s="4"/>
      <c r="C372" s="4"/>
      <c r="D372" s="4"/>
      <c r="E372" s="4"/>
      <c r="F372" s="4"/>
      <c r="G372" s="4"/>
    </row>
    <row r="373" spans="1:7" ht="15.75" customHeight="1" x14ac:dyDescent="0.35">
      <c r="A373" s="4"/>
      <c r="B373" s="4"/>
      <c r="C373" s="4"/>
      <c r="D373" s="4"/>
      <c r="E373" s="4"/>
      <c r="F373" s="4"/>
      <c r="G373" s="4"/>
    </row>
    <row r="374" spans="1:7" ht="15.75" customHeight="1" x14ac:dyDescent="0.35">
      <c r="A374" s="4"/>
      <c r="B374" s="4"/>
      <c r="C374" s="4"/>
      <c r="D374" s="4"/>
      <c r="E374" s="4"/>
      <c r="F374" s="4"/>
      <c r="G374" s="4"/>
    </row>
    <row r="375" spans="1:7" ht="15.75" customHeight="1" x14ac:dyDescent="0.35">
      <c r="A375" s="4"/>
      <c r="B375" s="4"/>
      <c r="C375" s="4"/>
      <c r="D375" s="4"/>
      <c r="E375" s="4"/>
      <c r="F375" s="4"/>
      <c r="G375" s="4"/>
    </row>
    <row r="376" spans="1:7" ht="15.75" customHeight="1" x14ac:dyDescent="0.35">
      <c r="A376" s="4"/>
      <c r="B376" s="4"/>
      <c r="C376" s="4"/>
      <c r="D376" s="4"/>
      <c r="E376" s="4"/>
      <c r="F376" s="4"/>
      <c r="G376" s="4"/>
    </row>
    <row r="377" spans="1:7" ht="15.75" customHeight="1" x14ac:dyDescent="0.35">
      <c r="A377" s="4"/>
      <c r="B377" s="4"/>
      <c r="C377" s="4"/>
      <c r="D377" s="4"/>
      <c r="E377" s="4"/>
      <c r="F377" s="4"/>
      <c r="G377" s="4"/>
    </row>
    <row r="378" spans="1:7" ht="15.75" customHeight="1" x14ac:dyDescent="0.35">
      <c r="A378" s="4"/>
      <c r="B378" s="4"/>
      <c r="C378" s="4"/>
      <c r="D378" s="4"/>
      <c r="E378" s="4"/>
      <c r="F378" s="4"/>
      <c r="G378" s="4"/>
    </row>
    <row r="379" spans="1:7" ht="15.75" customHeight="1" x14ac:dyDescent="0.35">
      <c r="A379" s="4"/>
      <c r="B379" s="4"/>
      <c r="C379" s="4"/>
      <c r="D379" s="4"/>
      <c r="E379" s="4"/>
      <c r="F379" s="4"/>
      <c r="G379" s="4"/>
    </row>
    <row r="380" spans="1:7" ht="15.75" customHeight="1" x14ac:dyDescent="0.35">
      <c r="A380" s="4"/>
      <c r="B380" s="4"/>
      <c r="C380" s="4"/>
      <c r="D380" s="4"/>
      <c r="E380" s="4"/>
      <c r="F380" s="4"/>
      <c r="G380" s="4"/>
    </row>
    <row r="381" spans="1:7" ht="15.75" customHeight="1" x14ac:dyDescent="0.35">
      <c r="A381" s="4"/>
      <c r="B381" s="4"/>
      <c r="C381" s="4"/>
      <c r="D381" s="4"/>
      <c r="E381" s="4"/>
      <c r="F381" s="4"/>
      <c r="G381" s="4"/>
    </row>
    <row r="382" spans="1:7" ht="15.75" customHeight="1" x14ac:dyDescent="0.35">
      <c r="A382" s="4"/>
      <c r="B382" s="4"/>
      <c r="C382" s="4"/>
      <c r="D382" s="4"/>
      <c r="E382" s="4"/>
      <c r="F382" s="4"/>
      <c r="G382" s="4"/>
    </row>
    <row r="383" spans="1:7" ht="15.75" customHeight="1" x14ac:dyDescent="0.35">
      <c r="A383" s="4"/>
      <c r="B383" s="4"/>
      <c r="C383" s="4"/>
      <c r="D383" s="4"/>
      <c r="E383" s="4"/>
      <c r="F383" s="4"/>
      <c r="G383" s="4"/>
    </row>
    <row r="384" spans="1:7" ht="15.75" customHeight="1" x14ac:dyDescent="0.35">
      <c r="A384" s="4"/>
      <c r="B384" s="4"/>
      <c r="C384" s="4"/>
      <c r="D384" s="4"/>
      <c r="E384" s="4"/>
      <c r="F384" s="4"/>
      <c r="G384" s="4"/>
    </row>
    <row r="385" spans="1:7" ht="15.75" customHeight="1" x14ac:dyDescent="0.35">
      <c r="A385" s="4"/>
      <c r="B385" s="4"/>
      <c r="C385" s="4"/>
      <c r="D385" s="4"/>
      <c r="E385" s="4"/>
      <c r="F385" s="4"/>
      <c r="G385" s="4"/>
    </row>
    <row r="386" spans="1:7" ht="15.75" customHeight="1" x14ac:dyDescent="0.35">
      <c r="A386" s="4"/>
      <c r="B386" s="4"/>
      <c r="C386" s="4"/>
      <c r="D386" s="4"/>
      <c r="E386" s="4"/>
      <c r="F386" s="4"/>
      <c r="G386" s="4"/>
    </row>
    <row r="387" spans="1:7" ht="15.75" customHeight="1" x14ac:dyDescent="0.35">
      <c r="A387" s="4"/>
      <c r="B387" s="4"/>
      <c r="C387" s="4"/>
      <c r="D387" s="4"/>
      <c r="E387" s="4"/>
      <c r="F387" s="4"/>
      <c r="G387" s="4"/>
    </row>
    <row r="388" spans="1:7" ht="15.75" customHeight="1" x14ac:dyDescent="0.35">
      <c r="A388" s="4"/>
      <c r="B388" s="4"/>
      <c r="C388" s="4"/>
      <c r="D388" s="4"/>
      <c r="E388" s="4"/>
      <c r="F388" s="4"/>
      <c r="G388" s="4"/>
    </row>
    <row r="389" spans="1:7" ht="15.75" customHeight="1" x14ac:dyDescent="0.35">
      <c r="A389" s="4"/>
      <c r="B389" s="4"/>
      <c r="C389" s="4"/>
      <c r="D389" s="4"/>
      <c r="E389" s="4"/>
      <c r="F389" s="4"/>
      <c r="G389" s="4"/>
    </row>
    <row r="390" spans="1:7" ht="15.75" customHeight="1" x14ac:dyDescent="0.35">
      <c r="A390" s="4"/>
      <c r="B390" s="4"/>
      <c r="C390" s="4"/>
      <c r="D390" s="4"/>
      <c r="E390" s="4"/>
      <c r="F390" s="4"/>
      <c r="G390" s="4"/>
    </row>
    <row r="391" spans="1:7" ht="15.75" customHeight="1" x14ac:dyDescent="0.35">
      <c r="A391" s="4"/>
      <c r="B391" s="4"/>
      <c r="C391" s="4"/>
      <c r="D391" s="4"/>
      <c r="E391" s="4"/>
      <c r="F391" s="4"/>
      <c r="G391" s="4"/>
    </row>
    <row r="392" spans="1:7" ht="15.75" customHeight="1" x14ac:dyDescent="0.35">
      <c r="A392" s="4"/>
      <c r="B392" s="4"/>
      <c r="C392" s="4"/>
      <c r="D392" s="4"/>
      <c r="E392" s="4"/>
      <c r="F392" s="4"/>
      <c r="G392" s="4"/>
    </row>
    <row r="393" spans="1:7" ht="15.75" customHeight="1" x14ac:dyDescent="0.35">
      <c r="A393" s="4"/>
      <c r="B393" s="4"/>
      <c r="C393" s="4"/>
      <c r="D393" s="4"/>
      <c r="E393" s="4"/>
      <c r="F393" s="4"/>
      <c r="G393" s="4"/>
    </row>
    <row r="394" spans="1:7" ht="15.75" customHeight="1" x14ac:dyDescent="0.35">
      <c r="A394" s="4"/>
      <c r="B394" s="4"/>
      <c r="C394" s="4"/>
      <c r="D394" s="4"/>
      <c r="E394" s="4"/>
      <c r="F394" s="4"/>
      <c r="G394" s="4"/>
    </row>
    <row r="395" spans="1:7" ht="15.75" customHeight="1" x14ac:dyDescent="0.35">
      <c r="A395" s="4"/>
      <c r="B395" s="4"/>
      <c r="C395" s="4"/>
      <c r="D395" s="4"/>
      <c r="E395" s="4"/>
      <c r="F395" s="4"/>
      <c r="G395" s="4"/>
    </row>
    <row r="396" spans="1:7" ht="15.75" customHeight="1" x14ac:dyDescent="0.35">
      <c r="A396" s="4"/>
      <c r="B396" s="4"/>
      <c r="C396" s="4"/>
      <c r="D396" s="4"/>
      <c r="E396" s="4"/>
      <c r="F396" s="4"/>
      <c r="G396" s="4"/>
    </row>
    <row r="397" spans="1:7" ht="15.75" customHeight="1" x14ac:dyDescent="0.35">
      <c r="A397" s="4"/>
      <c r="B397" s="4"/>
      <c r="C397" s="4"/>
      <c r="D397" s="4"/>
      <c r="E397" s="4"/>
      <c r="F397" s="4"/>
      <c r="G397" s="4"/>
    </row>
    <row r="398" spans="1:7" ht="15.75" customHeight="1" x14ac:dyDescent="0.35">
      <c r="A398" s="4"/>
      <c r="B398" s="4"/>
      <c r="C398" s="4"/>
      <c r="D398" s="4"/>
      <c r="E398" s="4"/>
      <c r="F398" s="4"/>
      <c r="G398" s="4"/>
    </row>
    <row r="399" spans="1:7" ht="15.75" customHeight="1" x14ac:dyDescent="0.35">
      <c r="A399" s="4"/>
      <c r="B399" s="4"/>
      <c r="C399" s="4"/>
      <c r="D399" s="4"/>
      <c r="E399" s="4"/>
      <c r="F399" s="4"/>
      <c r="G399" s="4"/>
    </row>
    <row r="400" spans="1:7" ht="15.75" customHeight="1" x14ac:dyDescent="0.35">
      <c r="A400" s="4"/>
      <c r="B400" s="4"/>
      <c r="C400" s="4"/>
      <c r="D400" s="4"/>
      <c r="E400" s="4"/>
      <c r="F400" s="4"/>
      <c r="G400" s="4"/>
    </row>
    <row r="401" spans="1:7" ht="15.75" customHeight="1" x14ac:dyDescent="0.35">
      <c r="A401" s="4"/>
      <c r="B401" s="4"/>
      <c r="C401" s="4"/>
      <c r="D401" s="4"/>
      <c r="E401" s="4"/>
      <c r="F401" s="4"/>
      <c r="G401" s="4"/>
    </row>
    <row r="402" spans="1:7" ht="15.75" customHeight="1" x14ac:dyDescent="0.35">
      <c r="A402" s="4"/>
      <c r="B402" s="4"/>
      <c r="C402" s="4"/>
      <c r="D402" s="4"/>
      <c r="E402" s="4"/>
      <c r="F402" s="4"/>
      <c r="G402" s="4"/>
    </row>
    <row r="403" spans="1:7" ht="15.75" customHeight="1" x14ac:dyDescent="0.35">
      <c r="A403" s="4"/>
      <c r="B403" s="4"/>
      <c r="C403" s="4"/>
      <c r="D403" s="4"/>
      <c r="E403" s="4"/>
      <c r="F403" s="4"/>
      <c r="G403" s="4"/>
    </row>
    <row r="404" spans="1:7" ht="15.75" customHeight="1" x14ac:dyDescent="0.35">
      <c r="A404" s="4"/>
      <c r="B404" s="4"/>
      <c r="C404" s="4"/>
      <c r="D404" s="4"/>
      <c r="E404" s="4"/>
      <c r="F404" s="4"/>
      <c r="G404" s="4"/>
    </row>
    <row r="405" spans="1:7" ht="15.75" customHeight="1" x14ac:dyDescent="0.35">
      <c r="A405" s="4"/>
      <c r="B405" s="4"/>
      <c r="C405" s="4"/>
      <c r="D405" s="4"/>
      <c r="E405" s="4"/>
      <c r="F405" s="4"/>
      <c r="G405" s="4"/>
    </row>
    <row r="406" spans="1:7" ht="15.75" customHeight="1" x14ac:dyDescent="0.35">
      <c r="A406" s="4"/>
      <c r="B406" s="4"/>
      <c r="C406" s="4"/>
      <c r="D406" s="4"/>
      <c r="E406" s="4"/>
      <c r="F406" s="4"/>
      <c r="G406" s="4"/>
    </row>
    <row r="407" spans="1:7" ht="15.75" customHeight="1" x14ac:dyDescent="0.35">
      <c r="A407" s="4"/>
      <c r="B407" s="4"/>
      <c r="C407" s="4"/>
      <c r="D407" s="4"/>
      <c r="E407" s="4"/>
      <c r="F407" s="4"/>
      <c r="G407" s="4"/>
    </row>
    <row r="408" spans="1:7" ht="15.75" customHeight="1" x14ac:dyDescent="0.35">
      <c r="A408" s="4"/>
      <c r="B408" s="4"/>
      <c r="C408" s="4"/>
      <c r="D408" s="4"/>
      <c r="E408" s="4"/>
      <c r="F408" s="4"/>
      <c r="G408" s="4"/>
    </row>
    <row r="409" spans="1:7" ht="15.75" customHeight="1" x14ac:dyDescent="0.35">
      <c r="A409" s="4"/>
      <c r="B409" s="4"/>
      <c r="C409" s="4"/>
      <c r="D409" s="4"/>
      <c r="E409" s="4"/>
      <c r="F409" s="4"/>
      <c r="G409" s="4"/>
    </row>
    <row r="410" spans="1:7" ht="15.75" customHeight="1" x14ac:dyDescent="0.35">
      <c r="A410" s="4"/>
      <c r="B410" s="4"/>
      <c r="C410" s="4"/>
      <c r="D410" s="4"/>
      <c r="E410" s="4"/>
      <c r="F410" s="4"/>
      <c r="G410" s="4"/>
    </row>
    <row r="411" spans="1:7" ht="15.75" customHeight="1" x14ac:dyDescent="0.35">
      <c r="A411" s="4"/>
      <c r="B411" s="4"/>
      <c r="C411" s="4"/>
      <c r="D411" s="4"/>
      <c r="E411" s="4"/>
      <c r="F411" s="4"/>
      <c r="G411" s="4"/>
    </row>
    <row r="412" spans="1:7" ht="15.75" customHeight="1" x14ac:dyDescent="0.35">
      <c r="A412" s="4"/>
      <c r="B412" s="4"/>
      <c r="C412" s="4"/>
      <c r="D412" s="4"/>
      <c r="E412" s="4"/>
      <c r="F412" s="4"/>
      <c r="G412" s="4"/>
    </row>
    <row r="413" spans="1:7" ht="15.75" customHeight="1" x14ac:dyDescent="0.35">
      <c r="A413" s="4"/>
      <c r="B413" s="4"/>
      <c r="C413" s="4"/>
      <c r="D413" s="4"/>
      <c r="E413" s="4"/>
      <c r="F413" s="4"/>
      <c r="G413" s="4"/>
    </row>
    <row r="414" spans="1:7" ht="15.75" customHeight="1" x14ac:dyDescent="0.35">
      <c r="A414" s="4"/>
      <c r="B414" s="4"/>
      <c r="C414" s="4"/>
      <c r="D414" s="4"/>
      <c r="E414" s="4"/>
      <c r="F414" s="4"/>
      <c r="G414" s="4"/>
    </row>
    <row r="415" spans="1:7" ht="15.75" customHeight="1" x14ac:dyDescent="0.35">
      <c r="A415" s="4"/>
      <c r="B415" s="4"/>
      <c r="C415" s="4"/>
      <c r="D415" s="4"/>
      <c r="E415" s="4"/>
      <c r="F415" s="4"/>
      <c r="G415" s="4"/>
    </row>
    <row r="416" spans="1:7" ht="15.75" customHeight="1" x14ac:dyDescent="0.35">
      <c r="A416" s="4"/>
      <c r="B416" s="4"/>
      <c r="C416" s="4"/>
      <c r="D416" s="4"/>
      <c r="E416" s="4"/>
      <c r="F416" s="4"/>
      <c r="G416" s="4"/>
    </row>
    <row r="417" spans="1:7" ht="15.75" customHeight="1" x14ac:dyDescent="0.35">
      <c r="A417" s="4"/>
      <c r="B417" s="4"/>
      <c r="C417" s="4"/>
      <c r="D417" s="4"/>
      <c r="E417" s="4"/>
      <c r="F417" s="4"/>
      <c r="G417" s="4"/>
    </row>
    <row r="418" spans="1:7" ht="15.75" customHeight="1" x14ac:dyDescent="0.35">
      <c r="A418" s="4"/>
      <c r="B418" s="4"/>
      <c r="C418" s="4"/>
      <c r="D418" s="4"/>
      <c r="E418" s="4"/>
      <c r="F418" s="4"/>
      <c r="G418" s="4"/>
    </row>
    <row r="419" spans="1:7" ht="15.75" customHeight="1" x14ac:dyDescent="0.35">
      <c r="A419" s="4"/>
      <c r="B419" s="4"/>
      <c r="C419" s="4"/>
      <c r="D419" s="4"/>
      <c r="E419" s="4"/>
      <c r="F419" s="4"/>
      <c r="G419" s="4"/>
    </row>
    <row r="420" spans="1:7" ht="15.75" customHeight="1" x14ac:dyDescent="0.35">
      <c r="A420" s="4"/>
      <c r="B420" s="4"/>
      <c r="C420" s="4"/>
      <c r="D420" s="4"/>
      <c r="E420" s="4"/>
      <c r="F420" s="4"/>
      <c r="G420" s="4"/>
    </row>
    <row r="421" spans="1:7" ht="15.75" customHeight="1" x14ac:dyDescent="0.35">
      <c r="A421" s="4"/>
      <c r="B421" s="4"/>
      <c r="C421" s="4"/>
      <c r="D421" s="4"/>
      <c r="E421" s="4"/>
      <c r="F421" s="4"/>
      <c r="G421" s="4"/>
    </row>
    <row r="422" spans="1:7" ht="15.75" customHeight="1" x14ac:dyDescent="0.35">
      <c r="A422" s="4"/>
      <c r="B422" s="4"/>
      <c r="C422" s="4"/>
      <c r="D422" s="4"/>
      <c r="E422" s="4"/>
      <c r="F422" s="4"/>
      <c r="G422" s="4"/>
    </row>
    <row r="423" spans="1:7" ht="15.75" customHeight="1" x14ac:dyDescent="0.35">
      <c r="A423" s="4"/>
      <c r="B423" s="4"/>
      <c r="C423" s="4"/>
      <c r="D423" s="4"/>
      <c r="E423" s="4"/>
      <c r="F423" s="4"/>
      <c r="G423" s="4"/>
    </row>
    <row r="424" spans="1:7" ht="15.75" customHeight="1" x14ac:dyDescent="0.35">
      <c r="A424" s="4"/>
      <c r="B424" s="4"/>
      <c r="C424" s="4"/>
      <c r="D424" s="4"/>
      <c r="E424" s="4"/>
      <c r="F424" s="4"/>
      <c r="G424" s="4"/>
    </row>
    <row r="425" spans="1:7" ht="15.75" customHeight="1" x14ac:dyDescent="0.35">
      <c r="A425" s="4"/>
      <c r="B425" s="4"/>
      <c r="C425" s="4"/>
      <c r="D425" s="4"/>
      <c r="E425" s="4"/>
      <c r="F425" s="4"/>
      <c r="G425" s="4"/>
    </row>
    <row r="426" spans="1:7" ht="15.75" customHeight="1" x14ac:dyDescent="0.35">
      <c r="A426" s="4"/>
      <c r="B426" s="4"/>
      <c r="C426" s="4"/>
      <c r="D426" s="4"/>
      <c r="E426" s="4"/>
      <c r="F426" s="4"/>
      <c r="G426" s="4"/>
    </row>
    <row r="427" spans="1:7" ht="15.75" customHeight="1" x14ac:dyDescent="0.35">
      <c r="A427" s="4"/>
      <c r="B427" s="4"/>
      <c r="C427" s="4"/>
      <c r="D427" s="4"/>
      <c r="E427" s="4"/>
      <c r="F427" s="4"/>
      <c r="G427" s="4"/>
    </row>
    <row r="428" spans="1:7" ht="15.75" customHeight="1" x14ac:dyDescent="0.35">
      <c r="A428" s="4"/>
      <c r="B428" s="4"/>
      <c r="C428" s="4"/>
      <c r="D428" s="4"/>
      <c r="E428" s="4"/>
      <c r="F428" s="4"/>
      <c r="G428" s="4"/>
    </row>
    <row r="429" spans="1:7" ht="15.75" customHeight="1" x14ac:dyDescent="0.35">
      <c r="A429" s="4"/>
      <c r="B429" s="4"/>
      <c r="C429" s="4"/>
      <c r="D429" s="4"/>
      <c r="E429" s="4"/>
      <c r="F429" s="4"/>
      <c r="G429" s="4"/>
    </row>
    <row r="430" spans="1:7" ht="15.75" customHeight="1" x14ac:dyDescent="0.35">
      <c r="A430" s="4"/>
      <c r="B430" s="4"/>
      <c r="C430" s="4"/>
      <c r="D430" s="4"/>
      <c r="E430" s="4"/>
      <c r="F430" s="4"/>
      <c r="G430" s="4"/>
    </row>
    <row r="431" spans="1:7" ht="15.75" customHeight="1" x14ac:dyDescent="0.35">
      <c r="A431" s="4"/>
      <c r="B431" s="4"/>
      <c r="C431" s="4"/>
      <c r="D431" s="4"/>
      <c r="E431" s="4"/>
      <c r="F431" s="4"/>
      <c r="G431" s="4"/>
    </row>
    <row r="432" spans="1:7" ht="15.75" customHeight="1" x14ac:dyDescent="0.35">
      <c r="A432" s="4"/>
      <c r="B432" s="4"/>
      <c r="C432" s="4"/>
      <c r="D432" s="4"/>
      <c r="E432" s="4"/>
      <c r="F432" s="4"/>
      <c r="G432" s="4"/>
    </row>
    <row r="433" spans="1:7" ht="15.75" customHeight="1" x14ac:dyDescent="0.35">
      <c r="A433" s="4"/>
      <c r="B433" s="4"/>
      <c r="C433" s="4"/>
      <c r="D433" s="4"/>
      <c r="E433" s="4"/>
      <c r="F433" s="4"/>
      <c r="G433" s="4"/>
    </row>
    <row r="434" spans="1:7" ht="15.75" customHeight="1" x14ac:dyDescent="0.35">
      <c r="A434" s="4"/>
      <c r="B434" s="4"/>
      <c r="C434" s="4"/>
      <c r="D434" s="4"/>
      <c r="E434" s="4"/>
      <c r="F434" s="4"/>
      <c r="G434" s="4"/>
    </row>
    <row r="435" spans="1:7" ht="15.75" customHeight="1" x14ac:dyDescent="0.35">
      <c r="A435" s="4"/>
      <c r="B435" s="4"/>
      <c r="C435" s="4"/>
      <c r="D435" s="4"/>
      <c r="E435" s="4"/>
      <c r="F435" s="4"/>
      <c r="G435" s="4"/>
    </row>
    <row r="436" spans="1:7" ht="15.75" customHeight="1" x14ac:dyDescent="0.35">
      <c r="A436" s="4"/>
      <c r="B436" s="4"/>
      <c r="C436" s="4"/>
      <c r="D436" s="4"/>
      <c r="E436" s="4"/>
      <c r="F436" s="4"/>
      <c r="G436" s="4"/>
    </row>
    <row r="437" spans="1:7" ht="15.75" customHeight="1" x14ac:dyDescent="0.35">
      <c r="A437" s="4"/>
      <c r="B437" s="4"/>
      <c r="C437" s="4"/>
      <c r="D437" s="4"/>
      <c r="E437" s="4"/>
      <c r="F437" s="4"/>
      <c r="G437" s="4"/>
    </row>
    <row r="438" spans="1:7" ht="15.75" customHeight="1" x14ac:dyDescent="0.35">
      <c r="A438" s="4"/>
      <c r="B438" s="4"/>
      <c r="C438" s="4"/>
      <c r="D438" s="4"/>
      <c r="E438" s="4"/>
      <c r="F438" s="4"/>
      <c r="G438" s="4"/>
    </row>
    <row r="439" spans="1:7" ht="15.75" customHeight="1" x14ac:dyDescent="0.35">
      <c r="A439" s="4"/>
      <c r="B439" s="4"/>
      <c r="C439" s="4"/>
      <c r="D439" s="4"/>
      <c r="E439" s="4"/>
      <c r="F439" s="4"/>
      <c r="G439" s="4"/>
    </row>
    <row r="440" spans="1:7" ht="15.75" customHeight="1" x14ac:dyDescent="0.35">
      <c r="A440" s="4"/>
      <c r="B440" s="4"/>
      <c r="C440" s="4"/>
      <c r="D440" s="4"/>
      <c r="E440" s="4"/>
      <c r="F440" s="4"/>
      <c r="G440" s="4"/>
    </row>
    <row r="441" spans="1:7" ht="15.75" customHeight="1" x14ac:dyDescent="0.35">
      <c r="A441" s="4"/>
      <c r="B441" s="4"/>
      <c r="C441" s="4"/>
      <c r="D441" s="4"/>
      <c r="E441" s="4"/>
      <c r="F441" s="4"/>
      <c r="G441" s="4"/>
    </row>
    <row r="442" spans="1:7" ht="15.75" customHeight="1" x14ac:dyDescent="0.35">
      <c r="A442" s="4"/>
      <c r="B442" s="4"/>
      <c r="C442" s="4"/>
      <c r="D442" s="4"/>
      <c r="E442" s="4"/>
      <c r="F442" s="4"/>
      <c r="G442" s="4"/>
    </row>
    <row r="443" spans="1:7" ht="15.75" customHeight="1" x14ac:dyDescent="0.35">
      <c r="A443" s="4"/>
      <c r="B443" s="4"/>
      <c r="C443" s="4"/>
      <c r="D443" s="4"/>
      <c r="E443" s="4"/>
      <c r="F443" s="4"/>
      <c r="G443" s="4"/>
    </row>
    <row r="444" spans="1:7" ht="15.75" customHeight="1" x14ac:dyDescent="0.35">
      <c r="A444" s="4"/>
      <c r="B444" s="4"/>
      <c r="C444" s="4"/>
      <c r="D444" s="4"/>
      <c r="E444" s="4"/>
      <c r="F444" s="4"/>
      <c r="G444" s="4"/>
    </row>
    <row r="445" spans="1:7" ht="15.75" customHeight="1" x14ac:dyDescent="0.35">
      <c r="A445" s="4"/>
      <c r="B445" s="4"/>
      <c r="C445" s="4"/>
      <c r="D445" s="4"/>
      <c r="E445" s="4"/>
      <c r="F445" s="4"/>
      <c r="G445" s="4"/>
    </row>
    <row r="446" spans="1:7" ht="15.75" customHeight="1" x14ac:dyDescent="0.35">
      <c r="A446" s="4"/>
      <c r="B446" s="4"/>
      <c r="C446" s="4"/>
      <c r="D446" s="4"/>
      <c r="E446" s="4"/>
      <c r="F446" s="4"/>
      <c r="G446" s="4"/>
    </row>
    <row r="447" spans="1:7" ht="15.75" customHeight="1" x14ac:dyDescent="0.35">
      <c r="A447" s="4"/>
      <c r="B447" s="4"/>
      <c r="C447" s="4"/>
      <c r="D447" s="4"/>
      <c r="E447" s="4"/>
      <c r="F447" s="4"/>
      <c r="G447" s="4"/>
    </row>
    <row r="448" spans="1:7" ht="15.75" customHeight="1" x14ac:dyDescent="0.35">
      <c r="A448" s="4"/>
      <c r="B448" s="4"/>
      <c r="C448" s="4"/>
      <c r="D448" s="4"/>
      <c r="E448" s="4"/>
      <c r="F448" s="4"/>
      <c r="G448" s="4"/>
    </row>
    <row r="449" spans="1:7" ht="15.75" customHeight="1" x14ac:dyDescent="0.35">
      <c r="A449" s="4"/>
      <c r="B449" s="4"/>
      <c r="C449" s="4"/>
      <c r="D449" s="4"/>
      <c r="E449" s="4"/>
      <c r="F449" s="4"/>
      <c r="G449" s="4"/>
    </row>
    <row r="450" spans="1:7" ht="15.75" customHeight="1" x14ac:dyDescent="0.35">
      <c r="A450" s="4"/>
      <c r="B450" s="4"/>
      <c r="C450" s="4"/>
      <c r="D450" s="4"/>
      <c r="E450" s="4"/>
      <c r="F450" s="4"/>
      <c r="G450" s="4"/>
    </row>
    <row r="451" spans="1:7" ht="15.75" customHeight="1" x14ac:dyDescent="0.35">
      <c r="A451" s="4"/>
      <c r="B451" s="4"/>
      <c r="C451" s="4"/>
      <c r="D451" s="4"/>
      <c r="E451" s="4"/>
      <c r="F451" s="4"/>
      <c r="G451" s="4"/>
    </row>
    <row r="452" spans="1:7" ht="15.75" customHeight="1" x14ac:dyDescent="0.35">
      <c r="A452" s="4"/>
      <c r="B452" s="4"/>
      <c r="C452" s="4"/>
      <c r="D452" s="4"/>
      <c r="E452" s="4"/>
      <c r="F452" s="4"/>
      <c r="G452" s="4"/>
    </row>
    <row r="453" spans="1:7" ht="15.75" customHeight="1" x14ac:dyDescent="0.35">
      <c r="A453" s="4"/>
      <c r="B453" s="4"/>
      <c r="C453" s="4"/>
      <c r="D453" s="4"/>
      <c r="E453" s="4"/>
      <c r="F453" s="4"/>
      <c r="G453" s="4"/>
    </row>
    <row r="454" spans="1:7" ht="15.75" customHeight="1" x14ac:dyDescent="0.35">
      <c r="A454" s="4"/>
      <c r="B454" s="4"/>
      <c r="C454" s="4"/>
      <c r="D454" s="4"/>
      <c r="E454" s="4"/>
      <c r="F454" s="4"/>
      <c r="G454" s="4"/>
    </row>
    <row r="455" spans="1:7" ht="15.75" customHeight="1" x14ac:dyDescent="0.35">
      <c r="A455" s="4"/>
      <c r="B455" s="4"/>
      <c r="C455" s="4"/>
      <c r="D455" s="4"/>
      <c r="E455" s="4"/>
      <c r="F455" s="4"/>
      <c r="G455" s="4"/>
    </row>
    <row r="456" spans="1:7" ht="15.75" customHeight="1" x14ac:dyDescent="0.35">
      <c r="A456" s="4"/>
      <c r="B456" s="4"/>
      <c r="C456" s="4"/>
      <c r="D456" s="4"/>
      <c r="E456" s="4"/>
      <c r="F456" s="4"/>
      <c r="G456" s="4"/>
    </row>
    <row r="457" spans="1:7" ht="15.75" customHeight="1" x14ac:dyDescent="0.35">
      <c r="A457" s="4"/>
      <c r="B457" s="4"/>
      <c r="C457" s="4"/>
      <c r="D457" s="4"/>
      <c r="E457" s="4"/>
      <c r="F457" s="4"/>
      <c r="G457" s="4"/>
    </row>
    <row r="458" spans="1:7" ht="15.75" customHeight="1" x14ac:dyDescent="0.35">
      <c r="A458" s="4"/>
      <c r="B458" s="4"/>
      <c r="C458" s="4"/>
      <c r="D458" s="4"/>
      <c r="E458" s="4"/>
      <c r="F458" s="4"/>
      <c r="G458" s="4"/>
    </row>
    <row r="459" spans="1:7" ht="15.75" customHeight="1" x14ac:dyDescent="0.35">
      <c r="A459" s="4"/>
      <c r="B459" s="4"/>
      <c r="C459" s="4"/>
      <c r="D459" s="4"/>
      <c r="E459" s="4"/>
      <c r="F459" s="4"/>
      <c r="G459" s="4"/>
    </row>
    <row r="460" spans="1:7" ht="15.75" customHeight="1" x14ac:dyDescent="0.35">
      <c r="A460" s="4"/>
      <c r="B460" s="4"/>
      <c r="C460" s="4"/>
      <c r="D460" s="4"/>
      <c r="E460" s="4"/>
      <c r="F460" s="4"/>
      <c r="G460" s="4"/>
    </row>
    <row r="461" spans="1:7" ht="15.75" customHeight="1" x14ac:dyDescent="0.35">
      <c r="A461" s="4"/>
      <c r="B461" s="4"/>
      <c r="C461" s="4"/>
      <c r="D461" s="4"/>
      <c r="E461" s="4"/>
      <c r="F461" s="4"/>
      <c r="G461" s="4"/>
    </row>
    <row r="462" spans="1:7" ht="15.75" customHeight="1" x14ac:dyDescent="0.35">
      <c r="A462" s="4"/>
      <c r="B462" s="4"/>
      <c r="C462" s="4"/>
      <c r="D462" s="4"/>
      <c r="E462" s="4"/>
      <c r="F462" s="4"/>
      <c r="G462" s="4"/>
    </row>
    <row r="463" spans="1:7" ht="15.75" customHeight="1" x14ac:dyDescent="0.35">
      <c r="A463" s="4"/>
      <c r="B463" s="4"/>
      <c r="C463" s="4"/>
      <c r="D463" s="4"/>
      <c r="E463" s="4"/>
      <c r="F463" s="4"/>
      <c r="G463" s="4"/>
    </row>
    <row r="464" spans="1:7" ht="15.75" customHeight="1" x14ac:dyDescent="0.35">
      <c r="A464" s="4"/>
      <c r="B464" s="4"/>
      <c r="C464" s="4"/>
      <c r="D464" s="4"/>
      <c r="E464" s="4"/>
      <c r="F464" s="4"/>
      <c r="G464" s="4"/>
    </row>
    <row r="465" spans="1:7" ht="15.75" customHeight="1" x14ac:dyDescent="0.35">
      <c r="A465" s="4"/>
      <c r="B465" s="4"/>
      <c r="C465" s="4"/>
      <c r="D465" s="4"/>
      <c r="E465" s="4"/>
      <c r="F465" s="4"/>
      <c r="G465" s="4"/>
    </row>
    <row r="466" spans="1:7" ht="15.75" customHeight="1" x14ac:dyDescent="0.35">
      <c r="A466" s="4"/>
      <c r="B466" s="4"/>
      <c r="C466" s="4"/>
      <c r="D466" s="4"/>
      <c r="E466" s="4"/>
      <c r="F466" s="4"/>
      <c r="G466" s="4"/>
    </row>
    <row r="467" spans="1:7" ht="15.75" customHeight="1" x14ac:dyDescent="0.35">
      <c r="A467" s="4"/>
      <c r="B467" s="4"/>
      <c r="C467" s="4"/>
      <c r="D467" s="4"/>
      <c r="E467" s="4"/>
      <c r="F467" s="4"/>
      <c r="G467" s="4"/>
    </row>
    <row r="468" spans="1:7" ht="15.75" customHeight="1" x14ac:dyDescent="0.35">
      <c r="A468" s="4"/>
      <c r="B468" s="4"/>
      <c r="C468" s="4"/>
      <c r="D468" s="4"/>
      <c r="E468" s="4"/>
      <c r="F468" s="4"/>
      <c r="G468" s="4"/>
    </row>
    <row r="469" spans="1:7" ht="15.75" customHeight="1" x14ac:dyDescent="0.35">
      <c r="A469" s="4"/>
      <c r="B469" s="4"/>
      <c r="C469" s="4"/>
      <c r="D469" s="4"/>
      <c r="E469" s="4"/>
      <c r="F469" s="4"/>
      <c r="G469" s="4"/>
    </row>
    <row r="470" spans="1:7" ht="15.75" customHeight="1" x14ac:dyDescent="0.35">
      <c r="A470" s="4"/>
      <c r="B470" s="4"/>
      <c r="C470" s="4"/>
      <c r="D470" s="4"/>
      <c r="E470" s="4"/>
      <c r="F470" s="4"/>
      <c r="G470" s="4"/>
    </row>
    <row r="471" spans="1:7" ht="15.75" customHeight="1" x14ac:dyDescent="0.35">
      <c r="A471" s="4"/>
      <c r="B471" s="4"/>
      <c r="C471" s="4"/>
      <c r="D471" s="4"/>
      <c r="E471" s="4"/>
      <c r="F471" s="4"/>
      <c r="G471" s="4"/>
    </row>
    <row r="472" spans="1:7" ht="15.75" customHeight="1" x14ac:dyDescent="0.35">
      <c r="A472" s="4"/>
      <c r="B472" s="4"/>
      <c r="C472" s="4"/>
      <c r="D472" s="4"/>
      <c r="E472" s="4"/>
      <c r="F472" s="4"/>
      <c r="G472" s="4"/>
    </row>
    <row r="473" spans="1:7" ht="15.75" customHeight="1" x14ac:dyDescent="0.35">
      <c r="A473" s="4"/>
      <c r="B473" s="4"/>
      <c r="C473" s="4"/>
      <c r="D473" s="4"/>
      <c r="E473" s="4"/>
      <c r="F473" s="4"/>
      <c r="G473" s="4"/>
    </row>
    <row r="474" spans="1:7" ht="15.75" customHeight="1" x14ac:dyDescent="0.35">
      <c r="A474" s="4"/>
      <c r="B474" s="4"/>
      <c r="C474" s="4"/>
      <c r="D474" s="4"/>
      <c r="E474" s="4"/>
      <c r="F474" s="4"/>
      <c r="G474" s="4"/>
    </row>
    <row r="475" spans="1:7" ht="15.75" customHeight="1" x14ac:dyDescent="0.35">
      <c r="A475" s="4"/>
      <c r="B475" s="4"/>
      <c r="C475" s="4"/>
      <c r="D475" s="4"/>
      <c r="E475" s="4"/>
      <c r="F475" s="4"/>
      <c r="G475" s="4"/>
    </row>
    <row r="476" spans="1:7" ht="15.75" customHeight="1" x14ac:dyDescent="0.35">
      <c r="A476" s="4"/>
      <c r="B476" s="4"/>
      <c r="C476" s="4"/>
      <c r="D476" s="4"/>
      <c r="E476" s="4"/>
      <c r="F476" s="4"/>
      <c r="G476" s="4"/>
    </row>
    <row r="477" spans="1:7" ht="15.75" customHeight="1" x14ac:dyDescent="0.35">
      <c r="A477" s="4"/>
      <c r="B477" s="4"/>
      <c r="C477" s="4"/>
      <c r="D477" s="4"/>
      <c r="E477" s="4"/>
      <c r="F477" s="4"/>
      <c r="G477" s="4"/>
    </row>
    <row r="478" spans="1:7" ht="15.75" customHeight="1" x14ac:dyDescent="0.35">
      <c r="A478" s="4"/>
      <c r="B478" s="4"/>
      <c r="C478" s="4"/>
      <c r="D478" s="4"/>
      <c r="E478" s="4"/>
      <c r="F478" s="4"/>
      <c r="G478" s="4"/>
    </row>
    <row r="479" spans="1:7" ht="15.75" customHeight="1" x14ac:dyDescent="0.35">
      <c r="A479" s="4"/>
      <c r="B479" s="4"/>
      <c r="C479" s="4"/>
      <c r="D479" s="4"/>
      <c r="E479" s="4"/>
      <c r="F479" s="4"/>
      <c r="G479" s="4"/>
    </row>
    <row r="480" spans="1:7" ht="15.75" customHeight="1" x14ac:dyDescent="0.35">
      <c r="A480" s="4"/>
      <c r="B480" s="4"/>
      <c r="C480" s="4"/>
      <c r="D480" s="4"/>
      <c r="E480" s="4"/>
      <c r="F480" s="4"/>
      <c r="G480" s="4"/>
    </row>
    <row r="481" spans="1:7" ht="15.75" customHeight="1" x14ac:dyDescent="0.35">
      <c r="A481" s="4"/>
      <c r="B481" s="4"/>
      <c r="C481" s="4"/>
      <c r="D481" s="4"/>
      <c r="E481" s="4"/>
      <c r="F481" s="4"/>
      <c r="G481" s="4"/>
    </row>
    <row r="482" spans="1:7" ht="15.75" customHeight="1" x14ac:dyDescent="0.35">
      <c r="A482" s="4"/>
      <c r="B482" s="4"/>
      <c r="C482" s="4"/>
      <c r="D482" s="4"/>
      <c r="E482" s="4"/>
      <c r="F482" s="4"/>
      <c r="G482" s="4"/>
    </row>
    <row r="483" spans="1:7" ht="15.75" customHeight="1" x14ac:dyDescent="0.35">
      <c r="A483" s="4"/>
      <c r="B483" s="4"/>
      <c r="C483" s="4"/>
      <c r="D483" s="4"/>
      <c r="E483" s="4"/>
      <c r="F483" s="4"/>
      <c r="G483" s="4"/>
    </row>
    <row r="484" spans="1:7" ht="15.75" customHeight="1" x14ac:dyDescent="0.35">
      <c r="A484" s="4"/>
      <c r="B484" s="4"/>
      <c r="C484" s="4"/>
      <c r="D484" s="4"/>
      <c r="E484" s="4"/>
      <c r="F484" s="4"/>
      <c r="G484" s="4"/>
    </row>
    <row r="485" spans="1:7" ht="15.75" customHeight="1" x14ac:dyDescent="0.35">
      <c r="A485" s="4"/>
      <c r="B485" s="4"/>
      <c r="C485" s="4"/>
      <c r="D485" s="4"/>
      <c r="E485" s="4"/>
      <c r="F485" s="4"/>
      <c r="G485" s="4"/>
    </row>
    <row r="486" spans="1:7" ht="15.75" customHeight="1" x14ac:dyDescent="0.35">
      <c r="A486" s="4"/>
      <c r="B486" s="4"/>
      <c r="C486" s="4"/>
      <c r="D486" s="4"/>
      <c r="E486" s="4"/>
      <c r="F486" s="4"/>
      <c r="G486" s="4"/>
    </row>
    <row r="487" spans="1:7" ht="15.75" customHeight="1" x14ac:dyDescent="0.35">
      <c r="A487" s="4"/>
      <c r="B487" s="4"/>
      <c r="C487" s="4"/>
      <c r="D487" s="4"/>
      <c r="E487" s="4"/>
      <c r="F487" s="4"/>
      <c r="G487" s="4"/>
    </row>
    <row r="488" spans="1:7" ht="15.75" customHeight="1" x14ac:dyDescent="0.35">
      <c r="A488" s="4"/>
      <c r="B488" s="4"/>
      <c r="C488" s="4"/>
      <c r="D488" s="4"/>
      <c r="E488" s="4"/>
      <c r="F488" s="4"/>
      <c r="G488" s="4"/>
    </row>
    <row r="489" spans="1:7" ht="15.75" customHeight="1" x14ac:dyDescent="0.35">
      <c r="A489" s="4"/>
      <c r="B489" s="4"/>
      <c r="C489" s="4"/>
      <c r="D489" s="4"/>
      <c r="E489" s="4"/>
      <c r="F489" s="4"/>
      <c r="G489" s="4"/>
    </row>
    <row r="490" spans="1:7" ht="15.75" customHeight="1" x14ac:dyDescent="0.35">
      <c r="A490" s="4"/>
      <c r="B490" s="4"/>
      <c r="C490" s="4"/>
      <c r="D490" s="4"/>
      <c r="E490" s="4"/>
      <c r="F490" s="4"/>
      <c r="G490" s="4"/>
    </row>
    <row r="491" spans="1:7" ht="15.75" customHeight="1" x14ac:dyDescent="0.35">
      <c r="A491" s="4"/>
      <c r="B491" s="4"/>
      <c r="C491" s="4"/>
      <c r="D491" s="4"/>
      <c r="E491" s="4"/>
      <c r="F491" s="4"/>
      <c r="G491" s="4"/>
    </row>
    <row r="492" spans="1:7" ht="15.75" customHeight="1" x14ac:dyDescent="0.35">
      <c r="A492" s="4"/>
      <c r="B492" s="4"/>
      <c r="C492" s="4"/>
      <c r="D492" s="4"/>
      <c r="E492" s="4"/>
      <c r="F492" s="4"/>
      <c r="G492" s="4"/>
    </row>
    <row r="493" spans="1:7" ht="15.75" customHeight="1" x14ac:dyDescent="0.35">
      <c r="A493" s="4"/>
      <c r="B493" s="4"/>
      <c r="C493" s="4"/>
      <c r="D493" s="4"/>
      <c r="E493" s="4"/>
      <c r="F493" s="4"/>
      <c r="G493" s="4"/>
    </row>
    <row r="494" spans="1:7" ht="15.75" customHeight="1" x14ac:dyDescent="0.35">
      <c r="A494" s="4"/>
      <c r="B494" s="4"/>
      <c r="C494" s="4"/>
      <c r="D494" s="4"/>
      <c r="E494" s="4"/>
      <c r="F494" s="4"/>
      <c r="G494" s="4"/>
    </row>
    <row r="495" spans="1:7" ht="15.75" customHeight="1" x14ac:dyDescent="0.35">
      <c r="A495" s="4"/>
      <c r="B495" s="4"/>
      <c r="C495" s="4"/>
      <c r="D495" s="4"/>
      <c r="E495" s="4"/>
      <c r="F495" s="4"/>
      <c r="G495" s="4"/>
    </row>
    <row r="496" spans="1:7" ht="15.75" customHeight="1" x14ac:dyDescent="0.35">
      <c r="A496" s="4"/>
      <c r="B496" s="4"/>
      <c r="C496" s="4"/>
      <c r="D496" s="4"/>
      <c r="E496" s="4"/>
      <c r="F496" s="4"/>
      <c r="G496" s="4"/>
    </row>
    <row r="497" spans="1:7" ht="15.75" customHeight="1" x14ac:dyDescent="0.35">
      <c r="A497" s="4"/>
      <c r="B497" s="4"/>
      <c r="C497" s="4"/>
      <c r="D497" s="4"/>
      <c r="E497" s="4"/>
      <c r="F497" s="4"/>
      <c r="G497" s="4"/>
    </row>
    <row r="498" spans="1:7" ht="15.75" customHeight="1" x14ac:dyDescent="0.35">
      <c r="A498" s="4"/>
      <c r="B498" s="4"/>
      <c r="C498" s="4"/>
      <c r="D498" s="4"/>
      <c r="E498" s="4"/>
      <c r="F498" s="4"/>
      <c r="G498" s="4"/>
    </row>
    <row r="499" spans="1:7" ht="15.75" customHeight="1" x14ac:dyDescent="0.35">
      <c r="A499" s="4"/>
      <c r="B499" s="4"/>
      <c r="C499" s="4"/>
      <c r="D499" s="4"/>
      <c r="E499" s="4"/>
      <c r="F499" s="4"/>
      <c r="G499" s="4"/>
    </row>
    <row r="500" spans="1:7" ht="15.75" customHeight="1" x14ac:dyDescent="0.35">
      <c r="A500" s="4"/>
      <c r="B500" s="4"/>
      <c r="C500" s="4"/>
      <c r="D500" s="4"/>
      <c r="E500" s="4"/>
      <c r="F500" s="4"/>
      <c r="G500" s="4"/>
    </row>
    <row r="501" spans="1:7" ht="15.75" customHeight="1" x14ac:dyDescent="0.35">
      <c r="A501" s="4"/>
      <c r="B501" s="4"/>
      <c r="C501" s="4"/>
      <c r="D501" s="4"/>
      <c r="E501" s="4"/>
      <c r="F501" s="4"/>
      <c r="G501" s="4"/>
    </row>
    <row r="502" spans="1:7" ht="15.75" customHeight="1" x14ac:dyDescent="0.35">
      <c r="A502" s="4"/>
      <c r="B502" s="4"/>
      <c r="C502" s="4"/>
      <c r="D502" s="4"/>
      <c r="E502" s="4"/>
      <c r="F502" s="4"/>
      <c r="G502" s="4"/>
    </row>
    <row r="503" spans="1:7" ht="15.75" customHeight="1" x14ac:dyDescent="0.35">
      <c r="A503" s="4"/>
      <c r="B503" s="4"/>
      <c r="C503" s="4"/>
      <c r="D503" s="4"/>
      <c r="E503" s="4"/>
      <c r="F503" s="4"/>
      <c r="G503" s="4"/>
    </row>
    <row r="504" spans="1:7" ht="15.75" customHeight="1" x14ac:dyDescent="0.35">
      <c r="A504" s="4"/>
      <c r="B504" s="4"/>
      <c r="C504" s="4"/>
      <c r="D504" s="4"/>
      <c r="E504" s="4"/>
      <c r="F504" s="4"/>
      <c r="G504" s="4"/>
    </row>
    <row r="505" spans="1:7" ht="15.75" customHeight="1" x14ac:dyDescent="0.35">
      <c r="A505" s="4"/>
      <c r="B505" s="4"/>
      <c r="C505" s="4"/>
      <c r="D505" s="4"/>
      <c r="E505" s="4"/>
      <c r="F505" s="4"/>
      <c r="G505" s="4"/>
    </row>
    <row r="506" spans="1:7" ht="15.75" customHeight="1" x14ac:dyDescent="0.35">
      <c r="A506" s="4"/>
      <c r="B506" s="4"/>
      <c r="C506" s="4"/>
      <c r="D506" s="4"/>
      <c r="E506" s="4"/>
      <c r="F506" s="4"/>
      <c r="G506" s="4"/>
    </row>
    <row r="507" spans="1:7" ht="15.75" customHeight="1" x14ac:dyDescent="0.35">
      <c r="A507" s="4"/>
      <c r="B507" s="4"/>
      <c r="C507" s="4"/>
      <c r="D507" s="4"/>
      <c r="E507" s="4"/>
      <c r="F507" s="4"/>
      <c r="G507" s="4"/>
    </row>
    <row r="508" spans="1:7" ht="15.75" customHeight="1" x14ac:dyDescent="0.35">
      <c r="A508" s="4"/>
      <c r="B508" s="4"/>
      <c r="C508" s="4"/>
      <c r="D508" s="4"/>
      <c r="E508" s="4"/>
      <c r="F508" s="4"/>
      <c r="G508" s="4"/>
    </row>
    <row r="509" spans="1:7" ht="15.75" customHeight="1" x14ac:dyDescent="0.35">
      <c r="A509" s="4"/>
      <c r="B509" s="4"/>
      <c r="C509" s="4"/>
      <c r="D509" s="4"/>
      <c r="E509" s="4"/>
      <c r="F509" s="4"/>
      <c r="G509" s="4"/>
    </row>
    <row r="510" spans="1:7" ht="15.75" customHeight="1" x14ac:dyDescent="0.35">
      <c r="A510" s="4"/>
      <c r="B510" s="4"/>
      <c r="C510" s="4"/>
      <c r="D510" s="4"/>
      <c r="E510" s="4"/>
      <c r="F510" s="4"/>
      <c r="G510" s="4"/>
    </row>
    <row r="511" spans="1:7" ht="15.75" customHeight="1" x14ac:dyDescent="0.35">
      <c r="A511" s="4"/>
      <c r="B511" s="4"/>
      <c r="C511" s="4"/>
      <c r="D511" s="4"/>
      <c r="E511" s="4"/>
      <c r="F511" s="4"/>
      <c r="G511" s="4"/>
    </row>
    <row r="512" spans="1:7" ht="15.75" customHeight="1" x14ac:dyDescent="0.35">
      <c r="A512" s="4"/>
      <c r="B512" s="4"/>
      <c r="C512" s="4"/>
      <c r="D512" s="4"/>
      <c r="E512" s="4"/>
      <c r="F512" s="4"/>
      <c r="G512" s="4"/>
    </row>
    <row r="513" spans="1:7" ht="15.75" customHeight="1" x14ac:dyDescent="0.35">
      <c r="A513" s="4"/>
      <c r="B513" s="4"/>
      <c r="C513" s="4"/>
      <c r="D513" s="4"/>
      <c r="E513" s="4"/>
      <c r="F513" s="4"/>
      <c r="G513" s="4"/>
    </row>
    <row r="514" spans="1:7" ht="15.75" customHeight="1" x14ac:dyDescent="0.35">
      <c r="A514" s="4"/>
      <c r="B514" s="4"/>
      <c r="C514" s="4"/>
      <c r="D514" s="4"/>
      <c r="E514" s="4"/>
      <c r="F514" s="4"/>
      <c r="G514" s="4"/>
    </row>
    <row r="515" spans="1:7" ht="15.75" customHeight="1" x14ac:dyDescent="0.35">
      <c r="A515" s="4"/>
      <c r="B515" s="4"/>
      <c r="C515" s="4"/>
      <c r="D515" s="4"/>
      <c r="E515" s="4"/>
      <c r="F515" s="4"/>
      <c r="G515" s="4"/>
    </row>
    <row r="516" spans="1:7" ht="15.75" customHeight="1" x14ac:dyDescent="0.35">
      <c r="A516" s="4"/>
      <c r="B516" s="4"/>
      <c r="C516" s="4"/>
      <c r="D516" s="4"/>
      <c r="E516" s="4"/>
      <c r="F516" s="4"/>
      <c r="G516" s="4"/>
    </row>
    <row r="517" spans="1:7" ht="15.75" customHeight="1" x14ac:dyDescent="0.35">
      <c r="A517" s="4"/>
      <c r="B517" s="4"/>
      <c r="C517" s="4"/>
      <c r="D517" s="4"/>
      <c r="E517" s="4"/>
      <c r="F517" s="4"/>
      <c r="G517" s="4"/>
    </row>
    <row r="518" spans="1:7" ht="15.75" customHeight="1" x14ac:dyDescent="0.35">
      <c r="A518" s="4"/>
      <c r="B518" s="4"/>
      <c r="C518" s="4"/>
      <c r="D518" s="4"/>
      <c r="E518" s="4"/>
      <c r="F518" s="4"/>
      <c r="G518" s="4"/>
    </row>
    <row r="519" spans="1:7" ht="15.75" customHeight="1" x14ac:dyDescent="0.35">
      <c r="A519" s="4"/>
      <c r="B519" s="4"/>
      <c r="C519" s="4"/>
      <c r="D519" s="4"/>
      <c r="E519" s="4"/>
      <c r="F519" s="4"/>
      <c r="G519" s="4"/>
    </row>
    <row r="520" spans="1:7" ht="15.75" customHeight="1" x14ac:dyDescent="0.35">
      <c r="A520" s="4"/>
      <c r="B520" s="4"/>
      <c r="C520" s="4"/>
      <c r="D520" s="4"/>
      <c r="E520" s="4"/>
      <c r="F520" s="4"/>
      <c r="G520" s="4"/>
    </row>
    <row r="521" spans="1:7" ht="15.75" customHeight="1" x14ac:dyDescent="0.35">
      <c r="A521" s="4"/>
      <c r="B521" s="4"/>
      <c r="C521" s="4"/>
      <c r="D521" s="4"/>
      <c r="E521" s="4"/>
      <c r="F521" s="4"/>
      <c r="G521" s="4"/>
    </row>
    <row r="522" spans="1:7" ht="15.75" customHeight="1" x14ac:dyDescent="0.35">
      <c r="A522" s="4"/>
      <c r="B522" s="4"/>
      <c r="C522" s="4"/>
      <c r="D522" s="4"/>
      <c r="E522" s="4"/>
      <c r="F522" s="4"/>
      <c r="G522" s="4"/>
    </row>
    <row r="523" spans="1:7" ht="15.75" customHeight="1" x14ac:dyDescent="0.35">
      <c r="A523" s="4"/>
      <c r="B523" s="4"/>
      <c r="C523" s="4"/>
      <c r="D523" s="4"/>
      <c r="E523" s="4"/>
      <c r="F523" s="4"/>
      <c r="G523" s="4"/>
    </row>
    <row r="524" spans="1:7" ht="15.75" customHeight="1" x14ac:dyDescent="0.35">
      <c r="A524" s="4"/>
      <c r="B524" s="4"/>
      <c r="C524" s="4"/>
      <c r="D524" s="4"/>
      <c r="E524" s="4"/>
      <c r="F524" s="4"/>
      <c r="G524" s="4"/>
    </row>
    <row r="525" spans="1:7" ht="15.75" customHeight="1" x14ac:dyDescent="0.35">
      <c r="A525" s="4"/>
      <c r="B525" s="4"/>
      <c r="C525" s="4"/>
      <c r="D525" s="4"/>
      <c r="E525" s="4"/>
      <c r="F525" s="4"/>
      <c r="G525" s="4"/>
    </row>
    <row r="526" spans="1:7" ht="15.75" customHeight="1" x14ac:dyDescent="0.35">
      <c r="A526" s="4"/>
      <c r="B526" s="4"/>
      <c r="C526" s="4"/>
      <c r="D526" s="4"/>
      <c r="E526" s="4"/>
      <c r="F526" s="4"/>
      <c r="G526" s="4"/>
    </row>
    <row r="527" spans="1:7" ht="15.75" customHeight="1" x14ac:dyDescent="0.35">
      <c r="A527" s="4"/>
      <c r="B527" s="4"/>
      <c r="C527" s="4"/>
      <c r="D527" s="4"/>
      <c r="E527" s="4"/>
      <c r="F527" s="4"/>
      <c r="G527" s="4"/>
    </row>
    <row r="528" spans="1:7" ht="15.75" customHeight="1" x14ac:dyDescent="0.35">
      <c r="A528" s="4"/>
      <c r="B528" s="4"/>
      <c r="C528" s="4"/>
      <c r="D528" s="4"/>
      <c r="E528" s="4"/>
      <c r="F528" s="4"/>
      <c r="G528" s="4"/>
    </row>
    <row r="529" spans="1:7" ht="15.75" customHeight="1" x14ac:dyDescent="0.35">
      <c r="A529" s="4"/>
      <c r="B529" s="4"/>
      <c r="C529" s="4"/>
      <c r="D529" s="4"/>
      <c r="E529" s="4"/>
      <c r="F529" s="4"/>
      <c r="G529" s="4"/>
    </row>
    <row r="530" spans="1:7" ht="15.75" customHeight="1" x14ac:dyDescent="0.35">
      <c r="A530" s="4"/>
      <c r="B530" s="4"/>
      <c r="C530" s="4"/>
      <c r="D530" s="4"/>
      <c r="E530" s="4"/>
      <c r="F530" s="4"/>
      <c r="G530" s="4"/>
    </row>
    <row r="531" spans="1:7" ht="15.75" customHeight="1" x14ac:dyDescent="0.35">
      <c r="A531" s="4"/>
      <c r="B531" s="4"/>
      <c r="C531" s="4"/>
      <c r="D531" s="4"/>
      <c r="E531" s="4"/>
      <c r="F531" s="4"/>
      <c r="G531" s="4"/>
    </row>
    <row r="532" spans="1:7" ht="15.75" customHeight="1" x14ac:dyDescent="0.35">
      <c r="A532" s="4"/>
      <c r="B532" s="4"/>
      <c r="C532" s="4"/>
      <c r="D532" s="4"/>
      <c r="E532" s="4"/>
      <c r="F532" s="4"/>
      <c r="G532" s="4"/>
    </row>
    <row r="533" spans="1:7" ht="15.75" customHeight="1" x14ac:dyDescent="0.35">
      <c r="A533" s="4"/>
      <c r="B533" s="4"/>
      <c r="C533" s="4"/>
      <c r="D533" s="4"/>
      <c r="E533" s="4"/>
      <c r="F533" s="4"/>
      <c r="G533" s="4"/>
    </row>
    <row r="534" spans="1:7" ht="15.75" customHeight="1" x14ac:dyDescent="0.35">
      <c r="A534" s="4"/>
      <c r="B534" s="4"/>
      <c r="C534" s="4"/>
      <c r="D534" s="4"/>
      <c r="E534" s="4"/>
      <c r="F534" s="4"/>
      <c r="G534" s="4"/>
    </row>
    <row r="535" spans="1:7" ht="15.75" customHeight="1" x14ac:dyDescent="0.35">
      <c r="A535" s="4"/>
      <c r="B535" s="4"/>
      <c r="C535" s="4"/>
      <c r="D535" s="4"/>
      <c r="E535" s="4"/>
      <c r="F535" s="4"/>
      <c r="G535" s="4"/>
    </row>
    <row r="536" spans="1:7" ht="15.75" customHeight="1" x14ac:dyDescent="0.35">
      <c r="A536" s="4"/>
      <c r="B536" s="4"/>
      <c r="C536" s="4"/>
      <c r="D536" s="4"/>
      <c r="E536" s="4"/>
      <c r="F536" s="4"/>
      <c r="G536" s="4"/>
    </row>
    <row r="537" spans="1:7" ht="15.75" customHeight="1" x14ac:dyDescent="0.35">
      <c r="A537" s="4"/>
      <c r="B537" s="4"/>
      <c r="C537" s="4"/>
      <c r="D537" s="4"/>
      <c r="E537" s="4"/>
      <c r="F537" s="4"/>
      <c r="G537" s="4"/>
    </row>
    <row r="538" spans="1:7" ht="15.75" customHeight="1" x14ac:dyDescent="0.35">
      <c r="A538" s="4"/>
      <c r="B538" s="4"/>
      <c r="C538" s="4"/>
      <c r="D538" s="4"/>
      <c r="E538" s="4"/>
      <c r="F538" s="4"/>
      <c r="G538" s="4"/>
    </row>
    <row r="539" spans="1:7" ht="15.75" customHeight="1" x14ac:dyDescent="0.35">
      <c r="A539" s="4"/>
      <c r="B539" s="4"/>
      <c r="C539" s="4"/>
      <c r="D539" s="4"/>
      <c r="E539" s="4"/>
      <c r="F539" s="4"/>
      <c r="G539" s="4"/>
    </row>
    <row r="540" spans="1:7" ht="15.75" customHeight="1" x14ac:dyDescent="0.35">
      <c r="A540" s="4"/>
      <c r="B540" s="4"/>
      <c r="C540" s="4"/>
      <c r="D540" s="4"/>
      <c r="E540" s="4"/>
      <c r="F540" s="4"/>
      <c r="G540" s="4"/>
    </row>
    <row r="541" spans="1:7" ht="15.75" customHeight="1" x14ac:dyDescent="0.35">
      <c r="A541" s="4"/>
      <c r="B541" s="4"/>
      <c r="C541" s="4"/>
      <c r="D541" s="4"/>
      <c r="E541" s="4"/>
      <c r="F541" s="4"/>
      <c r="G541" s="4"/>
    </row>
    <row r="542" spans="1:7" ht="15.75" customHeight="1" x14ac:dyDescent="0.35">
      <c r="A542" s="4"/>
      <c r="B542" s="4"/>
      <c r="C542" s="4"/>
      <c r="D542" s="4"/>
      <c r="E542" s="4"/>
      <c r="F542" s="4"/>
      <c r="G542" s="4"/>
    </row>
    <row r="543" spans="1:7" ht="15.75" customHeight="1" x14ac:dyDescent="0.35">
      <c r="A543" s="4"/>
      <c r="B543" s="4"/>
      <c r="C543" s="4"/>
      <c r="D543" s="4"/>
      <c r="E543" s="4"/>
      <c r="F543" s="4"/>
      <c r="G543" s="4"/>
    </row>
    <row r="544" spans="1:7" ht="15.75" customHeight="1" x14ac:dyDescent="0.35">
      <c r="A544" s="4"/>
      <c r="B544" s="4"/>
      <c r="C544" s="4"/>
      <c r="D544" s="4"/>
      <c r="E544" s="4"/>
      <c r="F544" s="4"/>
      <c r="G544" s="4"/>
    </row>
    <row r="545" spans="1:7" ht="15.75" customHeight="1" x14ac:dyDescent="0.35">
      <c r="A545" s="4"/>
      <c r="B545" s="4"/>
      <c r="C545" s="4"/>
      <c r="D545" s="4"/>
      <c r="E545" s="4"/>
      <c r="F545" s="4"/>
      <c r="G545" s="4"/>
    </row>
    <row r="546" spans="1:7" ht="15.75" customHeight="1" x14ac:dyDescent="0.35">
      <c r="A546" s="4"/>
      <c r="B546" s="4"/>
      <c r="C546" s="4"/>
      <c r="D546" s="4"/>
      <c r="E546" s="4"/>
      <c r="F546" s="4"/>
      <c r="G546" s="4"/>
    </row>
    <row r="547" spans="1:7" ht="15.75" customHeight="1" x14ac:dyDescent="0.35">
      <c r="A547" s="4"/>
      <c r="B547" s="4"/>
      <c r="C547" s="4"/>
      <c r="D547" s="4"/>
      <c r="E547" s="4"/>
      <c r="F547" s="4"/>
      <c r="G547" s="4"/>
    </row>
    <row r="548" spans="1:7" ht="15.75" customHeight="1" x14ac:dyDescent="0.35">
      <c r="A548" s="4"/>
      <c r="B548" s="4"/>
      <c r="C548" s="4"/>
      <c r="D548" s="4"/>
      <c r="E548" s="4"/>
      <c r="F548" s="4"/>
      <c r="G548" s="4"/>
    </row>
    <row r="549" spans="1:7" ht="15.75" customHeight="1" x14ac:dyDescent="0.35">
      <c r="A549" s="4"/>
      <c r="B549" s="4"/>
      <c r="C549" s="4"/>
      <c r="D549" s="4"/>
      <c r="E549" s="4"/>
      <c r="F549" s="4"/>
      <c r="G549" s="4"/>
    </row>
    <row r="550" spans="1:7" ht="15.75" customHeight="1" x14ac:dyDescent="0.35">
      <c r="A550" s="4"/>
      <c r="B550" s="4"/>
      <c r="C550" s="4"/>
      <c r="D550" s="4"/>
      <c r="E550" s="4"/>
      <c r="F550" s="4"/>
      <c r="G550" s="4"/>
    </row>
    <row r="551" spans="1:7" ht="15.75" customHeight="1" x14ac:dyDescent="0.35">
      <c r="A551" s="4"/>
      <c r="B551" s="4"/>
      <c r="C551" s="4"/>
      <c r="D551" s="4"/>
      <c r="E551" s="4"/>
      <c r="F551" s="4"/>
      <c r="G551" s="4"/>
    </row>
    <row r="552" spans="1:7" ht="15.75" customHeight="1" x14ac:dyDescent="0.35">
      <c r="A552" s="4"/>
      <c r="B552" s="4"/>
      <c r="C552" s="4"/>
      <c r="D552" s="4"/>
      <c r="E552" s="4"/>
      <c r="F552" s="4"/>
      <c r="G552" s="4"/>
    </row>
    <row r="553" spans="1:7" ht="15.75" customHeight="1" x14ac:dyDescent="0.35">
      <c r="A553" s="4"/>
      <c r="B553" s="4"/>
      <c r="C553" s="4"/>
      <c r="D553" s="4"/>
      <c r="E553" s="4"/>
      <c r="F553" s="4"/>
      <c r="G553" s="4"/>
    </row>
    <row r="554" spans="1:7" ht="15.75" customHeight="1" x14ac:dyDescent="0.35">
      <c r="A554" s="4"/>
      <c r="B554" s="4"/>
      <c r="C554" s="4"/>
      <c r="D554" s="4"/>
      <c r="E554" s="4"/>
      <c r="F554" s="4"/>
      <c r="G554" s="4"/>
    </row>
    <row r="555" spans="1:7" ht="15.75" customHeight="1" x14ac:dyDescent="0.35">
      <c r="A555" s="4"/>
      <c r="B555" s="4"/>
      <c r="C555" s="4"/>
      <c r="D555" s="4"/>
      <c r="E555" s="4"/>
      <c r="F555" s="4"/>
      <c r="G555" s="4"/>
    </row>
    <row r="556" spans="1:7" ht="15.75" customHeight="1" x14ac:dyDescent="0.35">
      <c r="A556" s="4"/>
      <c r="B556" s="4"/>
      <c r="C556" s="4"/>
      <c r="D556" s="4"/>
      <c r="E556" s="4"/>
      <c r="F556" s="4"/>
      <c r="G556" s="4"/>
    </row>
    <row r="557" spans="1:7" ht="15.75" customHeight="1" x14ac:dyDescent="0.35">
      <c r="A557" s="4"/>
      <c r="B557" s="4"/>
      <c r="C557" s="4"/>
      <c r="D557" s="4"/>
      <c r="E557" s="4"/>
      <c r="F557" s="4"/>
      <c r="G557" s="4"/>
    </row>
    <row r="558" spans="1:7" ht="15.75" customHeight="1" x14ac:dyDescent="0.35">
      <c r="A558" s="4"/>
      <c r="B558" s="4"/>
      <c r="C558" s="4"/>
      <c r="D558" s="4"/>
      <c r="E558" s="4"/>
      <c r="F558" s="4"/>
      <c r="G558" s="4"/>
    </row>
    <row r="559" spans="1:7" ht="15.75" customHeight="1" x14ac:dyDescent="0.35">
      <c r="A559" s="4"/>
      <c r="B559" s="4"/>
      <c r="C559" s="4"/>
      <c r="D559" s="4"/>
      <c r="E559" s="4"/>
      <c r="F559" s="4"/>
      <c r="G559" s="4"/>
    </row>
    <row r="560" spans="1:7" ht="15.75" customHeight="1" x14ac:dyDescent="0.35">
      <c r="A560" s="4"/>
      <c r="B560" s="4"/>
      <c r="C560" s="4"/>
      <c r="D560" s="4"/>
      <c r="E560" s="4"/>
      <c r="F560" s="4"/>
      <c r="G560" s="4"/>
    </row>
    <row r="561" spans="1:7" ht="15.75" customHeight="1" x14ac:dyDescent="0.35">
      <c r="A561" s="4"/>
      <c r="B561" s="4"/>
      <c r="C561" s="4"/>
      <c r="D561" s="4"/>
      <c r="E561" s="4"/>
      <c r="F561" s="4"/>
      <c r="G561" s="4"/>
    </row>
    <row r="562" spans="1:7" ht="15.75" customHeight="1" x14ac:dyDescent="0.35">
      <c r="A562" s="4"/>
      <c r="B562" s="4"/>
      <c r="C562" s="4"/>
      <c r="D562" s="4"/>
      <c r="E562" s="4"/>
      <c r="F562" s="4"/>
      <c r="G562" s="4"/>
    </row>
    <row r="563" spans="1:7" ht="15.75" customHeight="1" x14ac:dyDescent="0.35">
      <c r="A563" s="4"/>
      <c r="B563" s="4"/>
      <c r="C563" s="4"/>
      <c r="D563" s="4"/>
      <c r="E563" s="4"/>
      <c r="F563" s="4"/>
      <c r="G563" s="4"/>
    </row>
    <row r="564" spans="1:7" ht="15.75" customHeight="1" x14ac:dyDescent="0.35">
      <c r="A564" s="4"/>
      <c r="B564" s="4"/>
      <c r="C564" s="4"/>
      <c r="D564" s="4"/>
      <c r="E564" s="4"/>
      <c r="F564" s="4"/>
      <c r="G564" s="4"/>
    </row>
    <row r="565" spans="1:7" ht="15.75" customHeight="1" x14ac:dyDescent="0.35">
      <c r="A565" s="4"/>
      <c r="B565" s="4"/>
      <c r="C565" s="4"/>
      <c r="D565" s="4"/>
      <c r="E565" s="4"/>
      <c r="F565" s="4"/>
      <c r="G565" s="4"/>
    </row>
    <row r="566" spans="1:7" ht="15.75" customHeight="1" x14ac:dyDescent="0.35">
      <c r="A566" s="4"/>
      <c r="B566" s="4"/>
      <c r="C566" s="4"/>
      <c r="D566" s="4"/>
      <c r="E566" s="4"/>
      <c r="F566" s="4"/>
      <c r="G566" s="4"/>
    </row>
    <row r="567" spans="1:7" ht="15.75" customHeight="1" x14ac:dyDescent="0.35">
      <c r="A567" s="4"/>
      <c r="B567" s="4"/>
      <c r="C567" s="4"/>
      <c r="D567" s="4"/>
      <c r="E567" s="4"/>
      <c r="F567" s="4"/>
      <c r="G567" s="4"/>
    </row>
    <row r="568" spans="1:7" ht="15.75" customHeight="1" x14ac:dyDescent="0.35">
      <c r="A568" s="4"/>
      <c r="B568" s="4"/>
      <c r="C568" s="4"/>
      <c r="D568" s="4"/>
      <c r="E568" s="4"/>
      <c r="F568" s="4"/>
      <c r="G568" s="4"/>
    </row>
    <row r="569" spans="1:7" ht="15.75" customHeight="1" x14ac:dyDescent="0.35">
      <c r="A569" s="4"/>
      <c r="B569" s="4"/>
      <c r="C569" s="4"/>
      <c r="D569" s="4"/>
      <c r="E569" s="4"/>
      <c r="F569" s="4"/>
      <c r="G569" s="4"/>
    </row>
    <row r="570" spans="1:7" ht="15.75" customHeight="1" x14ac:dyDescent="0.35">
      <c r="A570" s="4"/>
      <c r="B570" s="4"/>
      <c r="C570" s="4"/>
      <c r="D570" s="4"/>
      <c r="E570" s="4"/>
      <c r="F570" s="4"/>
      <c r="G570" s="4"/>
    </row>
    <row r="571" spans="1:7" ht="15.75" customHeight="1" x14ac:dyDescent="0.35">
      <c r="A571" s="4"/>
      <c r="B571" s="4"/>
      <c r="C571" s="4"/>
      <c r="D571" s="4"/>
      <c r="E571" s="4"/>
      <c r="F571" s="4"/>
      <c r="G571" s="4"/>
    </row>
    <row r="572" spans="1:7" ht="15.75" customHeight="1" x14ac:dyDescent="0.35">
      <c r="A572" s="4"/>
      <c r="B572" s="4"/>
      <c r="C572" s="4"/>
      <c r="D572" s="4"/>
      <c r="E572" s="4"/>
      <c r="F572" s="4"/>
      <c r="G572" s="4"/>
    </row>
    <row r="573" spans="1:7" ht="15.75" customHeight="1" x14ac:dyDescent="0.35">
      <c r="A573" s="4"/>
      <c r="B573" s="4"/>
      <c r="C573" s="4"/>
      <c r="D573" s="4"/>
      <c r="E573" s="4"/>
      <c r="F573" s="4"/>
      <c r="G573" s="4"/>
    </row>
    <row r="574" spans="1:7" ht="15.75" customHeight="1" x14ac:dyDescent="0.35">
      <c r="A574" s="4"/>
      <c r="B574" s="4"/>
      <c r="C574" s="4"/>
      <c r="D574" s="4"/>
      <c r="E574" s="4"/>
      <c r="F574" s="4"/>
      <c r="G574" s="4"/>
    </row>
    <row r="575" spans="1:7" ht="15.75" customHeight="1" x14ac:dyDescent="0.35">
      <c r="A575" s="4"/>
      <c r="B575" s="4"/>
      <c r="C575" s="4"/>
      <c r="D575" s="4"/>
      <c r="E575" s="4"/>
      <c r="F575" s="4"/>
      <c r="G575" s="4"/>
    </row>
    <row r="576" spans="1:7" ht="15.75" customHeight="1" x14ac:dyDescent="0.35">
      <c r="A576" s="4"/>
      <c r="B576" s="4"/>
      <c r="C576" s="4"/>
      <c r="D576" s="4"/>
      <c r="E576" s="4"/>
      <c r="F576" s="4"/>
      <c r="G576" s="4"/>
    </row>
    <row r="577" spans="1:7" ht="15.75" customHeight="1" x14ac:dyDescent="0.35">
      <c r="A577" s="4"/>
      <c r="B577" s="4"/>
      <c r="C577" s="4"/>
      <c r="D577" s="4"/>
      <c r="E577" s="4"/>
      <c r="F577" s="4"/>
      <c r="G577" s="4"/>
    </row>
    <row r="578" spans="1:7" ht="15.75" customHeight="1" x14ac:dyDescent="0.35">
      <c r="A578" s="4"/>
      <c r="B578" s="4"/>
      <c r="C578" s="4"/>
      <c r="D578" s="4"/>
      <c r="E578" s="4"/>
      <c r="F578" s="4"/>
      <c r="G578" s="4"/>
    </row>
    <row r="579" spans="1:7" ht="15.75" customHeight="1" x14ac:dyDescent="0.35">
      <c r="A579" s="4"/>
      <c r="B579" s="4"/>
      <c r="C579" s="4"/>
      <c r="D579" s="4"/>
      <c r="E579" s="4"/>
      <c r="F579" s="4"/>
      <c r="G579" s="4"/>
    </row>
    <row r="580" spans="1:7" ht="15.75" customHeight="1" x14ac:dyDescent="0.35">
      <c r="A580" s="4"/>
      <c r="B580" s="4"/>
      <c r="C580" s="4"/>
      <c r="D580" s="4"/>
      <c r="E580" s="4"/>
      <c r="F580" s="4"/>
      <c r="G580" s="4"/>
    </row>
    <row r="581" spans="1:7" ht="15.75" customHeight="1" x14ac:dyDescent="0.35">
      <c r="A581" s="4"/>
      <c r="B581" s="4"/>
      <c r="C581" s="4"/>
      <c r="D581" s="4"/>
      <c r="E581" s="4"/>
      <c r="F581" s="4"/>
      <c r="G581" s="4"/>
    </row>
    <row r="582" spans="1:7" ht="15.75" customHeight="1" x14ac:dyDescent="0.35">
      <c r="A582" s="4"/>
      <c r="B582" s="4"/>
      <c r="C582" s="4"/>
      <c r="D582" s="4"/>
      <c r="E582" s="4"/>
      <c r="F582" s="4"/>
      <c r="G582" s="4"/>
    </row>
    <row r="583" spans="1:7" ht="15.75" customHeight="1" x14ac:dyDescent="0.35">
      <c r="A583" s="4"/>
      <c r="B583" s="4"/>
      <c r="C583" s="4"/>
      <c r="D583" s="4"/>
      <c r="E583" s="4"/>
      <c r="F583" s="4"/>
      <c r="G583" s="4"/>
    </row>
    <row r="584" spans="1:7" ht="15.75" customHeight="1" x14ac:dyDescent="0.35">
      <c r="A584" s="4"/>
      <c r="B584" s="4"/>
      <c r="C584" s="4"/>
      <c r="D584" s="4"/>
      <c r="E584" s="4"/>
      <c r="F584" s="4"/>
      <c r="G584" s="4"/>
    </row>
    <row r="585" spans="1:7" ht="15.75" customHeight="1" x14ac:dyDescent="0.35">
      <c r="A585" s="4"/>
      <c r="B585" s="4"/>
      <c r="C585" s="4"/>
      <c r="D585" s="4"/>
      <c r="E585" s="4"/>
      <c r="F585" s="4"/>
      <c r="G585" s="4"/>
    </row>
    <row r="586" spans="1:7" ht="15.75" customHeight="1" x14ac:dyDescent="0.35">
      <c r="A586" s="4"/>
      <c r="B586" s="4"/>
      <c r="C586" s="4"/>
      <c r="D586" s="4"/>
      <c r="E586" s="4"/>
      <c r="F586" s="4"/>
      <c r="G586" s="4"/>
    </row>
    <row r="587" spans="1:7" ht="15.75" customHeight="1" x14ac:dyDescent="0.35">
      <c r="A587" s="4"/>
      <c r="B587" s="4"/>
      <c r="C587" s="4"/>
      <c r="D587" s="4"/>
      <c r="E587" s="4"/>
      <c r="F587" s="4"/>
      <c r="G587" s="4"/>
    </row>
    <row r="588" spans="1:7" ht="15.75" customHeight="1" x14ac:dyDescent="0.35">
      <c r="A588" s="4"/>
      <c r="B588" s="4"/>
      <c r="C588" s="4"/>
      <c r="D588" s="4"/>
      <c r="E588" s="4"/>
      <c r="F588" s="4"/>
      <c r="G588" s="4"/>
    </row>
    <row r="589" spans="1:7" ht="15.75" customHeight="1" x14ac:dyDescent="0.35">
      <c r="A589" s="4"/>
      <c r="B589" s="4"/>
      <c r="C589" s="4"/>
      <c r="D589" s="4"/>
      <c r="E589" s="4"/>
      <c r="F589" s="4"/>
      <c r="G589" s="4"/>
    </row>
    <row r="590" spans="1:7" ht="15.75" customHeight="1" x14ac:dyDescent="0.35">
      <c r="A590" s="4"/>
      <c r="B590" s="4"/>
      <c r="C590" s="4"/>
      <c r="D590" s="4"/>
      <c r="E590" s="4"/>
      <c r="F590" s="4"/>
      <c r="G590" s="4"/>
    </row>
    <row r="591" spans="1:7" ht="15.75" customHeight="1" x14ac:dyDescent="0.35">
      <c r="A591" s="4"/>
      <c r="B591" s="4"/>
      <c r="C591" s="4"/>
      <c r="D591" s="4"/>
      <c r="E591" s="4"/>
      <c r="F591" s="4"/>
      <c r="G591" s="4"/>
    </row>
    <row r="592" spans="1:7" ht="15.75" customHeight="1" x14ac:dyDescent="0.35">
      <c r="A592" s="4"/>
      <c r="B592" s="4"/>
      <c r="C592" s="4"/>
      <c r="D592" s="4"/>
      <c r="E592" s="4"/>
      <c r="F592" s="4"/>
      <c r="G592" s="4"/>
    </row>
    <row r="593" spans="1:7" ht="15.75" customHeight="1" x14ac:dyDescent="0.35">
      <c r="A593" s="4"/>
      <c r="B593" s="4"/>
      <c r="C593" s="4"/>
      <c r="D593" s="4"/>
      <c r="E593" s="4"/>
      <c r="F593" s="4"/>
      <c r="G593" s="4"/>
    </row>
    <row r="594" spans="1:7" ht="15.75" customHeight="1" x14ac:dyDescent="0.35">
      <c r="A594" s="4"/>
      <c r="B594" s="4"/>
      <c r="C594" s="4"/>
      <c r="D594" s="4"/>
      <c r="E594" s="4"/>
      <c r="F594" s="4"/>
      <c r="G594" s="4"/>
    </row>
    <row r="595" spans="1:7" ht="15.75" customHeight="1" x14ac:dyDescent="0.35">
      <c r="A595" s="4"/>
      <c r="B595" s="4"/>
      <c r="C595" s="4"/>
      <c r="D595" s="4"/>
      <c r="E595" s="4"/>
      <c r="F595" s="4"/>
      <c r="G595" s="4"/>
    </row>
    <row r="596" spans="1:7" ht="15.75" customHeight="1" x14ac:dyDescent="0.35">
      <c r="A596" s="4"/>
      <c r="B596" s="4"/>
      <c r="C596" s="4"/>
      <c r="D596" s="4"/>
      <c r="E596" s="4"/>
      <c r="F596" s="4"/>
      <c r="G596" s="4"/>
    </row>
    <row r="597" spans="1:7" ht="15.75" customHeight="1" x14ac:dyDescent="0.35">
      <c r="A597" s="4"/>
      <c r="B597" s="4"/>
      <c r="C597" s="4"/>
      <c r="D597" s="4"/>
      <c r="E597" s="4"/>
      <c r="F597" s="4"/>
      <c r="G597" s="4"/>
    </row>
    <row r="598" spans="1:7" ht="15.75" customHeight="1" x14ac:dyDescent="0.35">
      <c r="A598" s="4"/>
      <c r="B598" s="4"/>
      <c r="C598" s="4"/>
      <c r="D598" s="4"/>
      <c r="E598" s="4"/>
      <c r="F598" s="4"/>
      <c r="G598" s="4"/>
    </row>
    <row r="599" spans="1:7" ht="15.75" customHeight="1" x14ac:dyDescent="0.35">
      <c r="A599" s="4"/>
      <c r="B599" s="4"/>
      <c r="C599" s="4"/>
      <c r="D599" s="4"/>
      <c r="E599" s="4"/>
      <c r="F599" s="4"/>
      <c r="G599" s="4"/>
    </row>
    <row r="600" spans="1:7" ht="15.75" customHeight="1" x14ac:dyDescent="0.35">
      <c r="A600" s="4"/>
      <c r="B600" s="4"/>
      <c r="C600" s="4"/>
      <c r="D600" s="4"/>
      <c r="E600" s="4"/>
      <c r="F600" s="4"/>
      <c r="G600" s="4"/>
    </row>
    <row r="601" spans="1:7" ht="15.75" customHeight="1" x14ac:dyDescent="0.35">
      <c r="A601" s="4"/>
      <c r="B601" s="4"/>
      <c r="C601" s="4"/>
      <c r="D601" s="4"/>
      <c r="E601" s="4"/>
      <c r="F601" s="4"/>
      <c r="G601" s="4"/>
    </row>
    <row r="602" spans="1:7" ht="15.75" customHeight="1" x14ac:dyDescent="0.35">
      <c r="A602" s="4"/>
      <c r="B602" s="4"/>
      <c r="C602" s="4"/>
      <c r="D602" s="4"/>
      <c r="E602" s="4"/>
      <c r="F602" s="4"/>
      <c r="G602" s="4"/>
    </row>
    <row r="603" spans="1:7" ht="15.75" customHeight="1" x14ac:dyDescent="0.35">
      <c r="A603" s="4"/>
      <c r="B603" s="4"/>
      <c r="C603" s="4"/>
      <c r="D603" s="4"/>
      <c r="E603" s="4"/>
      <c r="F603" s="4"/>
      <c r="G603" s="4"/>
    </row>
    <row r="604" spans="1:7" ht="15.75" customHeight="1" x14ac:dyDescent="0.35">
      <c r="A604" s="4"/>
      <c r="B604" s="4"/>
      <c r="C604" s="4"/>
      <c r="D604" s="4"/>
      <c r="E604" s="4"/>
      <c r="F604" s="4"/>
      <c r="G604" s="4"/>
    </row>
    <row r="605" spans="1:7" ht="15.75" customHeight="1" x14ac:dyDescent="0.35">
      <c r="A605" s="4"/>
      <c r="B605" s="4"/>
      <c r="C605" s="4"/>
      <c r="D605" s="4"/>
      <c r="E605" s="4"/>
      <c r="F605" s="4"/>
      <c r="G605" s="4"/>
    </row>
    <row r="606" spans="1:7" ht="15.75" customHeight="1" x14ac:dyDescent="0.35">
      <c r="A606" s="4"/>
      <c r="B606" s="4"/>
      <c r="C606" s="4"/>
      <c r="D606" s="4"/>
      <c r="E606" s="4"/>
      <c r="F606" s="4"/>
      <c r="G606" s="4"/>
    </row>
    <row r="607" spans="1:7" ht="15.75" customHeight="1" x14ac:dyDescent="0.35">
      <c r="A607" s="4"/>
      <c r="B607" s="4"/>
      <c r="C607" s="4"/>
      <c r="D607" s="4"/>
      <c r="E607" s="4"/>
      <c r="F607" s="4"/>
      <c r="G607" s="4"/>
    </row>
    <row r="608" spans="1:7" ht="15.75" customHeight="1" x14ac:dyDescent="0.35">
      <c r="A608" s="4"/>
      <c r="B608" s="4"/>
      <c r="C608" s="4"/>
      <c r="D608" s="4"/>
      <c r="E608" s="4"/>
      <c r="F608" s="4"/>
      <c r="G608" s="4"/>
    </row>
    <row r="609" spans="1:7" ht="15.75" customHeight="1" x14ac:dyDescent="0.35">
      <c r="A609" s="4"/>
      <c r="B609" s="4"/>
      <c r="C609" s="4"/>
      <c r="D609" s="4"/>
      <c r="E609" s="4"/>
      <c r="F609" s="4"/>
      <c r="G609" s="4"/>
    </row>
    <row r="610" spans="1:7" ht="15.75" customHeight="1" x14ac:dyDescent="0.35">
      <c r="A610" s="4"/>
      <c r="B610" s="4"/>
      <c r="C610" s="4"/>
      <c r="D610" s="4"/>
      <c r="E610" s="4"/>
      <c r="F610" s="4"/>
      <c r="G610" s="4"/>
    </row>
    <row r="611" spans="1:7" ht="15.75" customHeight="1" x14ac:dyDescent="0.35">
      <c r="A611" s="4"/>
      <c r="B611" s="4"/>
      <c r="C611" s="4"/>
      <c r="D611" s="4"/>
      <c r="E611" s="4"/>
      <c r="F611" s="4"/>
      <c r="G611" s="4"/>
    </row>
    <row r="612" spans="1:7" ht="15.75" customHeight="1" x14ac:dyDescent="0.35">
      <c r="A612" s="4"/>
      <c r="B612" s="4"/>
      <c r="C612" s="4"/>
      <c r="D612" s="4"/>
      <c r="E612" s="4"/>
      <c r="F612" s="4"/>
      <c r="G612" s="4"/>
    </row>
    <row r="613" spans="1:7" ht="15.75" customHeight="1" x14ac:dyDescent="0.35">
      <c r="A613" s="4"/>
      <c r="B613" s="4"/>
      <c r="C613" s="4"/>
      <c r="D613" s="4"/>
      <c r="E613" s="4"/>
      <c r="F613" s="4"/>
      <c r="G613" s="4"/>
    </row>
    <row r="614" spans="1:7" ht="15.75" customHeight="1" x14ac:dyDescent="0.35">
      <c r="A614" s="4"/>
      <c r="B614" s="4"/>
      <c r="C614" s="4"/>
      <c r="D614" s="4"/>
      <c r="E614" s="4"/>
      <c r="F614" s="4"/>
      <c r="G614" s="4"/>
    </row>
    <row r="615" spans="1:7" ht="15.75" customHeight="1" x14ac:dyDescent="0.35">
      <c r="A615" s="4"/>
      <c r="B615" s="4"/>
      <c r="C615" s="4"/>
      <c r="D615" s="4"/>
      <c r="E615" s="4"/>
      <c r="F615" s="4"/>
      <c r="G615" s="4"/>
    </row>
    <row r="616" spans="1:7" ht="15.75" customHeight="1" x14ac:dyDescent="0.35">
      <c r="A616" s="4"/>
      <c r="B616" s="4"/>
      <c r="C616" s="4"/>
      <c r="D616" s="4"/>
      <c r="E616" s="4"/>
      <c r="F616" s="4"/>
      <c r="G616" s="4"/>
    </row>
    <row r="617" spans="1:7" ht="15.75" customHeight="1" x14ac:dyDescent="0.35">
      <c r="A617" s="4"/>
      <c r="B617" s="4"/>
      <c r="C617" s="4"/>
      <c r="D617" s="4"/>
      <c r="E617" s="4"/>
      <c r="F617" s="4"/>
      <c r="G617" s="4"/>
    </row>
    <row r="618" spans="1:7" ht="15.75" customHeight="1" x14ac:dyDescent="0.35">
      <c r="A618" s="4"/>
      <c r="B618" s="4"/>
      <c r="C618" s="4"/>
      <c r="D618" s="4"/>
      <c r="E618" s="4"/>
      <c r="F618" s="4"/>
      <c r="G618" s="4"/>
    </row>
    <row r="619" spans="1:7" ht="15.75" customHeight="1" x14ac:dyDescent="0.35">
      <c r="A619" s="4"/>
      <c r="B619" s="4"/>
      <c r="C619" s="4"/>
      <c r="D619" s="4"/>
      <c r="E619" s="4"/>
      <c r="F619" s="4"/>
      <c r="G619" s="4"/>
    </row>
    <row r="620" spans="1:7" ht="15.75" customHeight="1" x14ac:dyDescent="0.35">
      <c r="A620" s="4"/>
      <c r="B620" s="4"/>
      <c r="C620" s="4"/>
      <c r="D620" s="4"/>
      <c r="E620" s="4"/>
      <c r="F620" s="4"/>
      <c r="G620" s="4"/>
    </row>
    <row r="621" spans="1:7" ht="15.75" customHeight="1" x14ac:dyDescent="0.35">
      <c r="A621" s="4"/>
      <c r="B621" s="4"/>
      <c r="C621" s="4"/>
      <c r="D621" s="4"/>
      <c r="E621" s="4"/>
      <c r="F621" s="4"/>
      <c r="G621" s="4"/>
    </row>
    <row r="622" spans="1:7" ht="15.75" customHeight="1" x14ac:dyDescent="0.35">
      <c r="A622" s="4"/>
      <c r="B622" s="4"/>
      <c r="C622" s="4"/>
      <c r="D622" s="4"/>
      <c r="E622" s="4"/>
      <c r="F622" s="4"/>
      <c r="G622" s="4"/>
    </row>
    <row r="623" spans="1:7" ht="15.75" customHeight="1" x14ac:dyDescent="0.35">
      <c r="A623" s="4"/>
      <c r="B623" s="4"/>
      <c r="C623" s="4"/>
      <c r="D623" s="4"/>
      <c r="E623" s="4"/>
      <c r="F623" s="4"/>
      <c r="G623" s="4"/>
    </row>
    <row r="624" spans="1:7" ht="15.75" customHeight="1" x14ac:dyDescent="0.35">
      <c r="A624" s="4"/>
      <c r="B624" s="4"/>
      <c r="C624" s="4"/>
      <c r="D624" s="4"/>
      <c r="E624" s="4"/>
      <c r="F624" s="4"/>
      <c r="G624" s="4"/>
    </row>
    <row r="625" spans="1:7" ht="15.75" customHeight="1" x14ac:dyDescent="0.35">
      <c r="A625" s="4"/>
      <c r="B625" s="4"/>
      <c r="C625" s="4"/>
      <c r="D625" s="4"/>
      <c r="E625" s="4"/>
      <c r="F625" s="4"/>
      <c r="G625" s="4"/>
    </row>
    <row r="626" spans="1:7" ht="15.75" customHeight="1" x14ac:dyDescent="0.35">
      <c r="A626" s="4"/>
      <c r="B626" s="4"/>
      <c r="C626" s="4"/>
      <c r="D626" s="4"/>
      <c r="E626" s="4"/>
      <c r="F626" s="4"/>
      <c r="G626" s="4"/>
    </row>
    <row r="627" spans="1:7" ht="15.75" customHeight="1" x14ac:dyDescent="0.35">
      <c r="A627" s="4"/>
      <c r="B627" s="4"/>
      <c r="C627" s="4"/>
      <c r="D627" s="4"/>
      <c r="E627" s="4"/>
      <c r="F627" s="4"/>
      <c r="G627" s="4"/>
    </row>
    <row r="628" spans="1:7" ht="15.75" customHeight="1" x14ac:dyDescent="0.35">
      <c r="A628" s="4"/>
      <c r="B628" s="4"/>
      <c r="C628" s="4"/>
      <c r="D628" s="4"/>
      <c r="E628" s="4"/>
      <c r="F628" s="4"/>
      <c r="G628" s="4"/>
    </row>
    <row r="629" spans="1:7" ht="15.75" customHeight="1" x14ac:dyDescent="0.35">
      <c r="A629" s="4"/>
      <c r="B629" s="4"/>
      <c r="C629" s="4"/>
      <c r="D629" s="4"/>
      <c r="E629" s="4"/>
      <c r="F629" s="4"/>
      <c r="G629" s="4"/>
    </row>
    <row r="630" spans="1:7" ht="15.75" customHeight="1" x14ac:dyDescent="0.35">
      <c r="A630" s="4"/>
      <c r="B630" s="4"/>
      <c r="C630" s="4"/>
      <c r="D630" s="4"/>
      <c r="E630" s="4"/>
      <c r="F630" s="4"/>
      <c r="G630" s="4"/>
    </row>
    <row r="631" spans="1:7" ht="15.75" customHeight="1" x14ac:dyDescent="0.35">
      <c r="A631" s="4"/>
      <c r="B631" s="4"/>
      <c r="C631" s="4"/>
      <c r="D631" s="4"/>
      <c r="E631" s="4"/>
      <c r="F631" s="4"/>
      <c r="G631" s="4"/>
    </row>
    <row r="632" spans="1:7" ht="15.75" customHeight="1" x14ac:dyDescent="0.35">
      <c r="A632" s="4"/>
      <c r="B632" s="4"/>
      <c r="C632" s="4"/>
      <c r="D632" s="4"/>
      <c r="E632" s="4"/>
      <c r="F632" s="4"/>
      <c r="G632" s="4"/>
    </row>
    <row r="633" spans="1:7" ht="15.75" customHeight="1" x14ac:dyDescent="0.35">
      <c r="A633" s="4"/>
      <c r="B633" s="4"/>
      <c r="C633" s="4"/>
      <c r="D633" s="4"/>
      <c r="E633" s="4"/>
      <c r="F633" s="4"/>
      <c r="G633" s="4"/>
    </row>
    <row r="634" spans="1:7" ht="15.75" customHeight="1" x14ac:dyDescent="0.35">
      <c r="A634" s="4"/>
      <c r="B634" s="4"/>
      <c r="C634" s="4"/>
      <c r="D634" s="4"/>
      <c r="E634" s="4"/>
      <c r="F634" s="4"/>
      <c r="G634" s="4"/>
    </row>
    <row r="635" spans="1:7" ht="15.75" customHeight="1" x14ac:dyDescent="0.35">
      <c r="A635" s="4"/>
      <c r="B635" s="4"/>
      <c r="C635" s="4"/>
      <c r="D635" s="4"/>
      <c r="E635" s="4"/>
      <c r="F635" s="4"/>
      <c r="G635" s="4"/>
    </row>
    <row r="636" spans="1:7" ht="15.75" customHeight="1" x14ac:dyDescent="0.35">
      <c r="A636" s="4"/>
      <c r="B636" s="4"/>
      <c r="C636" s="4"/>
      <c r="D636" s="4"/>
      <c r="E636" s="4"/>
      <c r="F636" s="4"/>
      <c r="G636" s="4"/>
    </row>
    <row r="637" spans="1:7" ht="15.75" customHeight="1" x14ac:dyDescent="0.35">
      <c r="A637" s="4"/>
      <c r="B637" s="4"/>
      <c r="C637" s="4"/>
      <c r="D637" s="4"/>
      <c r="E637" s="4"/>
      <c r="F637" s="4"/>
      <c r="G637" s="4"/>
    </row>
    <row r="638" spans="1:7" ht="15.75" customHeight="1" x14ac:dyDescent="0.35">
      <c r="A638" s="4"/>
      <c r="B638" s="4"/>
      <c r="C638" s="4"/>
      <c r="D638" s="4"/>
      <c r="E638" s="4"/>
      <c r="F638" s="4"/>
      <c r="G638" s="4"/>
    </row>
    <row r="639" spans="1:7" ht="15.75" customHeight="1" x14ac:dyDescent="0.35">
      <c r="A639" s="4"/>
      <c r="B639" s="4"/>
      <c r="C639" s="4"/>
      <c r="D639" s="4"/>
      <c r="E639" s="4"/>
      <c r="F639" s="4"/>
      <c r="G639" s="4"/>
    </row>
    <row r="640" spans="1:7" ht="15.75" customHeight="1" x14ac:dyDescent="0.35">
      <c r="A640" s="4"/>
      <c r="B640" s="4"/>
      <c r="C640" s="4"/>
      <c r="D640" s="4"/>
      <c r="E640" s="4"/>
      <c r="F640" s="4"/>
      <c r="G640" s="4"/>
    </row>
    <row r="641" spans="1:7" ht="15.75" customHeight="1" x14ac:dyDescent="0.35">
      <c r="A641" s="4"/>
      <c r="B641" s="4"/>
      <c r="C641" s="4"/>
      <c r="D641" s="4"/>
      <c r="E641" s="4"/>
      <c r="F641" s="4"/>
      <c r="G641" s="4"/>
    </row>
    <row r="642" spans="1:7" ht="15.75" customHeight="1" x14ac:dyDescent="0.35">
      <c r="A642" s="4"/>
      <c r="B642" s="4"/>
      <c r="C642" s="4"/>
      <c r="D642" s="4"/>
      <c r="E642" s="4"/>
      <c r="F642" s="4"/>
      <c r="G642" s="4"/>
    </row>
    <row r="643" spans="1:7" ht="15.75" customHeight="1" x14ac:dyDescent="0.35">
      <c r="A643" s="4"/>
      <c r="B643" s="4"/>
      <c r="C643" s="4"/>
      <c r="D643" s="4"/>
      <c r="E643" s="4"/>
      <c r="F643" s="4"/>
      <c r="G643" s="4"/>
    </row>
    <row r="644" spans="1:7" ht="15.75" customHeight="1" x14ac:dyDescent="0.35">
      <c r="A644" s="4"/>
      <c r="B644" s="4"/>
      <c r="C644" s="4"/>
      <c r="D644" s="4"/>
      <c r="E644" s="4"/>
      <c r="F644" s="4"/>
      <c r="G644" s="4"/>
    </row>
    <row r="645" spans="1:7" ht="15.75" customHeight="1" x14ac:dyDescent="0.35">
      <c r="A645" s="4"/>
      <c r="B645" s="4"/>
      <c r="C645" s="4"/>
      <c r="D645" s="4"/>
      <c r="E645" s="4"/>
      <c r="F645" s="4"/>
      <c r="G645" s="4"/>
    </row>
    <row r="646" spans="1:7" ht="15.75" customHeight="1" x14ac:dyDescent="0.35">
      <c r="A646" s="4"/>
      <c r="B646" s="4"/>
      <c r="C646" s="4"/>
      <c r="D646" s="4"/>
      <c r="E646" s="4"/>
      <c r="F646" s="4"/>
      <c r="G646" s="4"/>
    </row>
    <row r="647" spans="1:7" ht="15.75" customHeight="1" x14ac:dyDescent="0.35">
      <c r="A647" s="4"/>
      <c r="B647" s="4"/>
      <c r="C647" s="4"/>
      <c r="D647" s="4"/>
      <c r="E647" s="4"/>
      <c r="F647" s="4"/>
      <c r="G647" s="4"/>
    </row>
    <row r="648" spans="1:7" ht="15.75" customHeight="1" x14ac:dyDescent="0.35">
      <c r="A648" s="4"/>
      <c r="B648" s="4"/>
      <c r="C648" s="4"/>
      <c r="D648" s="4"/>
      <c r="E648" s="4"/>
      <c r="F648" s="4"/>
      <c r="G648" s="4"/>
    </row>
    <row r="649" spans="1:7" ht="15.75" customHeight="1" x14ac:dyDescent="0.35">
      <c r="A649" s="4"/>
      <c r="B649" s="4"/>
      <c r="C649" s="4"/>
      <c r="D649" s="4"/>
      <c r="E649" s="4"/>
      <c r="F649" s="4"/>
      <c r="G649" s="4"/>
    </row>
    <row r="650" spans="1:7" ht="15.75" customHeight="1" x14ac:dyDescent="0.35">
      <c r="A650" s="4"/>
      <c r="B650" s="4"/>
      <c r="C650" s="4"/>
      <c r="D650" s="4"/>
      <c r="E650" s="4"/>
      <c r="F650" s="4"/>
      <c r="G650" s="4"/>
    </row>
    <row r="651" spans="1:7" ht="15.75" customHeight="1" x14ac:dyDescent="0.35">
      <c r="A651" s="4"/>
      <c r="B651" s="4"/>
      <c r="C651" s="4"/>
      <c r="D651" s="4"/>
      <c r="E651" s="4"/>
      <c r="F651" s="4"/>
      <c r="G651" s="4"/>
    </row>
    <row r="652" spans="1:7" ht="15.75" customHeight="1" x14ac:dyDescent="0.35">
      <c r="A652" s="4"/>
      <c r="B652" s="4"/>
      <c r="C652" s="4"/>
      <c r="D652" s="4"/>
      <c r="E652" s="4"/>
      <c r="F652" s="4"/>
      <c r="G652" s="4"/>
    </row>
    <row r="653" spans="1:7" ht="15.75" customHeight="1" x14ac:dyDescent="0.35">
      <c r="A653" s="4"/>
      <c r="B653" s="4"/>
      <c r="C653" s="4"/>
      <c r="D653" s="4"/>
      <c r="E653" s="4"/>
      <c r="F653" s="4"/>
      <c r="G653" s="4"/>
    </row>
    <row r="654" spans="1:7" ht="15.75" customHeight="1" x14ac:dyDescent="0.35">
      <c r="A654" s="4"/>
      <c r="B654" s="4"/>
      <c r="C654" s="4"/>
      <c r="D654" s="4"/>
      <c r="E654" s="4"/>
      <c r="F654" s="4"/>
      <c r="G654" s="4"/>
    </row>
    <row r="655" spans="1:7" ht="15.75" customHeight="1" x14ac:dyDescent="0.35">
      <c r="A655" s="4"/>
      <c r="B655" s="4"/>
      <c r="C655" s="4"/>
      <c r="D655" s="4"/>
      <c r="E655" s="4"/>
      <c r="F655" s="4"/>
      <c r="G655" s="4"/>
    </row>
    <row r="656" spans="1:7" ht="15.75" customHeight="1" x14ac:dyDescent="0.35">
      <c r="A656" s="4"/>
      <c r="B656" s="4"/>
      <c r="C656" s="4"/>
      <c r="D656" s="4"/>
      <c r="E656" s="4"/>
      <c r="F656" s="4"/>
      <c r="G656" s="4"/>
    </row>
    <row r="657" spans="1:7" ht="15.75" customHeight="1" x14ac:dyDescent="0.35">
      <c r="A657" s="4"/>
      <c r="B657" s="4"/>
      <c r="C657" s="4"/>
      <c r="D657" s="4"/>
      <c r="E657" s="4"/>
      <c r="F657" s="4"/>
      <c r="G657" s="4"/>
    </row>
    <row r="658" spans="1:7" ht="15.75" customHeight="1" x14ac:dyDescent="0.35">
      <c r="A658" s="4"/>
      <c r="B658" s="4"/>
      <c r="C658" s="4"/>
      <c r="D658" s="4"/>
      <c r="E658" s="4"/>
      <c r="F658" s="4"/>
      <c r="G658" s="4"/>
    </row>
    <row r="659" spans="1:7" ht="15.75" customHeight="1" x14ac:dyDescent="0.35">
      <c r="A659" s="4"/>
      <c r="B659" s="4"/>
      <c r="C659" s="4"/>
      <c r="D659" s="4"/>
      <c r="E659" s="4"/>
      <c r="F659" s="4"/>
      <c r="G659" s="4"/>
    </row>
    <row r="660" spans="1:7" ht="15.75" customHeight="1" x14ac:dyDescent="0.35">
      <c r="A660" s="4"/>
      <c r="B660" s="4"/>
      <c r="C660" s="4"/>
      <c r="D660" s="4"/>
      <c r="E660" s="4"/>
      <c r="F660" s="4"/>
      <c r="G660" s="4"/>
    </row>
    <row r="661" spans="1:7" ht="15.75" customHeight="1" x14ac:dyDescent="0.35">
      <c r="A661" s="4"/>
      <c r="B661" s="4"/>
      <c r="C661" s="4"/>
      <c r="D661" s="4"/>
      <c r="E661" s="4"/>
      <c r="F661" s="4"/>
      <c r="G661" s="4"/>
    </row>
    <row r="662" spans="1:7" ht="15.75" customHeight="1" x14ac:dyDescent="0.35">
      <c r="A662" s="4"/>
      <c r="B662" s="4"/>
      <c r="C662" s="4"/>
      <c r="D662" s="4"/>
      <c r="E662" s="4"/>
      <c r="F662" s="4"/>
      <c r="G662" s="4"/>
    </row>
    <row r="663" spans="1:7" ht="15.75" customHeight="1" x14ac:dyDescent="0.35">
      <c r="A663" s="4"/>
      <c r="B663" s="4"/>
      <c r="C663" s="4"/>
      <c r="D663" s="4"/>
      <c r="E663" s="4"/>
      <c r="F663" s="4"/>
      <c r="G663" s="4"/>
    </row>
    <row r="664" spans="1:7" ht="15.75" customHeight="1" x14ac:dyDescent="0.35">
      <c r="A664" s="4"/>
      <c r="B664" s="4"/>
      <c r="C664" s="4"/>
      <c r="D664" s="4"/>
      <c r="E664" s="4"/>
      <c r="F664" s="4"/>
      <c r="G664" s="4"/>
    </row>
    <row r="665" spans="1:7" ht="15.75" customHeight="1" x14ac:dyDescent="0.35">
      <c r="A665" s="4"/>
      <c r="B665" s="4"/>
      <c r="C665" s="4"/>
      <c r="D665" s="4"/>
      <c r="E665" s="4"/>
      <c r="F665" s="4"/>
      <c r="G665" s="4"/>
    </row>
    <row r="666" spans="1:7" ht="15.75" customHeight="1" x14ac:dyDescent="0.35">
      <c r="A666" s="4"/>
      <c r="B666" s="4"/>
      <c r="C666" s="4"/>
      <c r="D666" s="4"/>
      <c r="E666" s="4"/>
      <c r="F666" s="4"/>
      <c r="G666" s="4"/>
    </row>
    <row r="667" spans="1:7" ht="15.75" customHeight="1" x14ac:dyDescent="0.35">
      <c r="A667" s="4"/>
      <c r="B667" s="4"/>
      <c r="C667" s="4"/>
      <c r="D667" s="4"/>
      <c r="E667" s="4"/>
      <c r="F667" s="4"/>
      <c r="G667" s="4"/>
    </row>
    <row r="668" spans="1:7" ht="15.75" customHeight="1" x14ac:dyDescent="0.35">
      <c r="A668" s="4"/>
      <c r="B668" s="4"/>
      <c r="C668" s="4"/>
      <c r="D668" s="4"/>
      <c r="E668" s="4"/>
      <c r="F668" s="4"/>
      <c r="G668" s="4"/>
    </row>
    <row r="669" spans="1:7" ht="15.75" customHeight="1" x14ac:dyDescent="0.35">
      <c r="A669" s="4"/>
      <c r="B669" s="4"/>
      <c r="C669" s="4"/>
      <c r="D669" s="4"/>
      <c r="E669" s="4"/>
      <c r="F669" s="4"/>
      <c r="G669" s="4"/>
    </row>
    <row r="670" spans="1:7" ht="15.75" customHeight="1" x14ac:dyDescent="0.35">
      <c r="A670" s="4"/>
      <c r="B670" s="4"/>
      <c r="C670" s="4"/>
      <c r="D670" s="4"/>
      <c r="E670" s="4"/>
      <c r="F670" s="4"/>
      <c r="G670" s="4"/>
    </row>
    <row r="671" spans="1:7" ht="15.75" customHeight="1" x14ac:dyDescent="0.35">
      <c r="A671" s="4"/>
      <c r="B671" s="4"/>
      <c r="C671" s="4"/>
      <c r="D671" s="4"/>
      <c r="E671" s="4"/>
      <c r="F671" s="4"/>
      <c r="G671" s="4"/>
    </row>
    <row r="672" spans="1:7" ht="15.75" customHeight="1" x14ac:dyDescent="0.35">
      <c r="A672" s="4"/>
      <c r="B672" s="4"/>
      <c r="C672" s="4"/>
      <c r="D672" s="4"/>
      <c r="E672" s="4"/>
      <c r="F672" s="4"/>
      <c r="G672" s="4"/>
    </row>
    <row r="673" spans="1:7" ht="15.75" customHeight="1" x14ac:dyDescent="0.35">
      <c r="A673" s="4"/>
      <c r="B673" s="4"/>
      <c r="C673" s="4"/>
      <c r="D673" s="4"/>
      <c r="E673" s="4"/>
      <c r="F673" s="4"/>
      <c r="G673" s="4"/>
    </row>
    <row r="674" spans="1:7" ht="15.75" customHeight="1" x14ac:dyDescent="0.35">
      <c r="A674" s="4"/>
      <c r="B674" s="4"/>
      <c r="C674" s="4"/>
      <c r="D674" s="4"/>
      <c r="E674" s="4"/>
      <c r="F674" s="4"/>
      <c r="G674" s="4"/>
    </row>
    <row r="675" spans="1:7" ht="15.75" customHeight="1" x14ac:dyDescent="0.35">
      <c r="A675" s="4"/>
      <c r="B675" s="4"/>
      <c r="C675" s="4"/>
      <c r="D675" s="4"/>
      <c r="E675" s="4"/>
      <c r="F675" s="4"/>
      <c r="G675" s="4"/>
    </row>
    <row r="676" spans="1:7" ht="15.75" customHeight="1" x14ac:dyDescent="0.35">
      <c r="A676" s="4"/>
      <c r="B676" s="4"/>
      <c r="C676" s="4"/>
      <c r="D676" s="4"/>
      <c r="E676" s="4"/>
      <c r="F676" s="4"/>
      <c r="G676" s="4"/>
    </row>
    <row r="677" spans="1:7" ht="15.75" customHeight="1" x14ac:dyDescent="0.35">
      <c r="A677" s="4"/>
      <c r="B677" s="4"/>
      <c r="C677" s="4"/>
      <c r="D677" s="4"/>
      <c r="E677" s="4"/>
      <c r="F677" s="4"/>
      <c r="G677" s="4"/>
    </row>
    <row r="678" spans="1:7" ht="15.75" customHeight="1" x14ac:dyDescent="0.35">
      <c r="A678" s="4"/>
      <c r="B678" s="4"/>
      <c r="C678" s="4"/>
      <c r="D678" s="4"/>
      <c r="E678" s="4"/>
      <c r="F678" s="4"/>
      <c r="G678" s="4"/>
    </row>
    <row r="679" spans="1:7" ht="15.75" customHeight="1" x14ac:dyDescent="0.35">
      <c r="A679" s="4"/>
      <c r="B679" s="4"/>
      <c r="C679" s="4"/>
      <c r="D679" s="4"/>
      <c r="E679" s="4"/>
      <c r="F679" s="4"/>
      <c r="G679" s="4"/>
    </row>
    <row r="680" spans="1:7" ht="15.75" customHeight="1" x14ac:dyDescent="0.35">
      <c r="A680" s="4"/>
      <c r="B680" s="4"/>
      <c r="C680" s="4"/>
      <c r="D680" s="4"/>
      <c r="E680" s="4"/>
      <c r="F680" s="4"/>
      <c r="G680" s="4"/>
    </row>
    <row r="681" spans="1:7" ht="15.75" customHeight="1" x14ac:dyDescent="0.35">
      <c r="A681" s="4"/>
      <c r="B681" s="4"/>
      <c r="C681" s="4"/>
      <c r="D681" s="4"/>
      <c r="E681" s="4"/>
      <c r="F681" s="4"/>
      <c r="G681" s="4"/>
    </row>
    <row r="682" spans="1:7" ht="15.75" customHeight="1" x14ac:dyDescent="0.35">
      <c r="A682" s="4"/>
      <c r="B682" s="4"/>
      <c r="C682" s="4"/>
      <c r="D682" s="4"/>
      <c r="E682" s="4"/>
      <c r="F682" s="4"/>
      <c r="G682" s="4"/>
    </row>
    <row r="683" spans="1:7" ht="15.75" customHeight="1" x14ac:dyDescent="0.35">
      <c r="A683" s="4"/>
      <c r="B683" s="4"/>
      <c r="C683" s="4"/>
      <c r="D683" s="4"/>
      <c r="E683" s="4"/>
      <c r="F683" s="4"/>
      <c r="G683" s="4"/>
    </row>
    <row r="684" spans="1:7" ht="15.75" customHeight="1" x14ac:dyDescent="0.35">
      <c r="A684" s="4"/>
      <c r="B684" s="4"/>
      <c r="C684" s="4"/>
      <c r="D684" s="4"/>
      <c r="E684" s="4"/>
      <c r="F684" s="4"/>
      <c r="G684" s="4"/>
    </row>
    <row r="685" spans="1:7" ht="15.75" customHeight="1" x14ac:dyDescent="0.35">
      <c r="A685" s="4"/>
      <c r="B685" s="4"/>
      <c r="C685" s="4"/>
      <c r="D685" s="4"/>
      <c r="E685" s="4"/>
      <c r="F685" s="4"/>
      <c r="G685" s="4"/>
    </row>
    <row r="686" spans="1:7" ht="15.75" customHeight="1" x14ac:dyDescent="0.35">
      <c r="A686" s="4"/>
      <c r="B686" s="4"/>
      <c r="C686" s="4"/>
      <c r="D686" s="4"/>
      <c r="E686" s="4"/>
      <c r="F686" s="4"/>
      <c r="G686" s="4"/>
    </row>
    <row r="687" spans="1:7" ht="15.75" customHeight="1" x14ac:dyDescent="0.35">
      <c r="A687" s="4"/>
      <c r="B687" s="4"/>
      <c r="C687" s="4"/>
      <c r="D687" s="4"/>
      <c r="E687" s="4"/>
      <c r="F687" s="4"/>
      <c r="G687" s="4"/>
    </row>
    <row r="688" spans="1:7" ht="15.75" customHeight="1" x14ac:dyDescent="0.35">
      <c r="A688" s="4"/>
      <c r="B688" s="4"/>
      <c r="C688" s="4"/>
      <c r="D688" s="4"/>
      <c r="E688" s="4"/>
      <c r="F688" s="4"/>
      <c r="G688" s="4"/>
    </row>
    <row r="689" spans="1:7" ht="15.75" customHeight="1" x14ac:dyDescent="0.35">
      <c r="A689" s="4"/>
      <c r="B689" s="4"/>
      <c r="C689" s="4"/>
      <c r="D689" s="4"/>
      <c r="E689" s="4"/>
      <c r="F689" s="4"/>
      <c r="G689" s="4"/>
    </row>
    <row r="690" spans="1:7" ht="15.75" customHeight="1" x14ac:dyDescent="0.35">
      <c r="A690" s="4"/>
      <c r="B690" s="4"/>
      <c r="C690" s="4"/>
      <c r="D690" s="4"/>
      <c r="E690" s="4"/>
      <c r="F690" s="4"/>
      <c r="G690" s="4"/>
    </row>
    <row r="691" spans="1:7" ht="15.75" customHeight="1" x14ac:dyDescent="0.35">
      <c r="A691" s="4"/>
      <c r="B691" s="4"/>
      <c r="C691" s="4"/>
      <c r="D691" s="4"/>
      <c r="E691" s="4"/>
      <c r="F691" s="4"/>
      <c r="G691" s="4"/>
    </row>
    <row r="692" spans="1:7" ht="15.75" customHeight="1" x14ac:dyDescent="0.35">
      <c r="A692" s="4"/>
      <c r="B692" s="4"/>
      <c r="C692" s="4"/>
      <c r="D692" s="4"/>
      <c r="E692" s="4"/>
      <c r="F692" s="4"/>
      <c r="G692" s="4"/>
    </row>
    <row r="693" spans="1:7" ht="15.75" customHeight="1" x14ac:dyDescent="0.35">
      <c r="A693" s="4"/>
      <c r="B693" s="4"/>
      <c r="C693" s="4"/>
      <c r="D693" s="4"/>
      <c r="E693" s="4"/>
      <c r="F693" s="4"/>
      <c r="G693" s="4"/>
    </row>
    <row r="694" spans="1:7" ht="15.75" customHeight="1" x14ac:dyDescent="0.35">
      <c r="A694" s="4"/>
      <c r="B694" s="4"/>
      <c r="C694" s="4"/>
      <c r="D694" s="4"/>
      <c r="E694" s="4"/>
      <c r="F694" s="4"/>
      <c r="G694" s="4"/>
    </row>
    <row r="695" spans="1:7" ht="15.75" customHeight="1" x14ac:dyDescent="0.35">
      <c r="A695" s="4"/>
      <c r="B695" s="4"/>
      <c r="C695" s="4"/>
      <c r="D695" s="4"/>
      <c r="E695" s="4"/>
      <c r="F695" s="4"/>
      <c r="G695" s="4"/>
    </row>
    <row r="696" spans="1:7" ht="15.75" customHeight="1" x14ac:dyDescent="0.35">
      <c r="A696" s="4"/>
      <c r="B696" s="4"/>
      <c r="C696" s="4"/>
      <c r="D696" s="4"/>
      <c r="E696" s="4"/>
      <c r="F696" s="4"/>
      <c r="G696" s="4"/>
    </row>
    <row r="697" spans="1:7" ht="15.75" customHeight="1" x14ac:dyDescent="0.35">
      <c r="A697" s="4"/>
      <c r="B697" s="4"/>
      <c r="C697" s="4"/>
      <c r="D697" s="4"/>
      <c r="E697" s="4"/>
      <c r="F697" s="4"/>
      <c r="G697" s="4"/>
    </row>
    <row r="698" spans="1:7" ht="15.75" customHeight="1" x14ac:dyDescent="0.35">
      <c r="A698" s="4"/>
      <c r="B698" s="4"/>
      <c r="C698" s="4"/>
      <c r="D698" s="4"/>
      <c r="E698" s="4"/>
      <c r="F698" s="4"/>
      <c r="G698" s="4"/>
    </row>
    <row r="699" spans="1:7" ht="15.75" customHeight="1" x14ac:dyDescent="0.35">
      <c r="A699" s="4"/>
      <c r="B699" s="4"/>
      <c r="C699" s="4"/>
      <c r="D699" s="4"/>
      <c r="E699" s="4"/>
      <c r="F699" s="4"/>
      <c r="G699" s="4"/>
    </row>
    <row r="700" spans="1:7" ht="15.75" customHeight="1" x14ac:dyDescent="0.35">
      <c r="A700" s="4"/>
      <c r="B700" s="4"/>
      <c r="C700" s="4"/>
      <c r="D700" s="4"/>
      <c r="E700" s="4"/>
      <c r="F700" s="4"/>
      <c r="G700" s="4"/>
    </row>
    <row r="701" spans="1:7" ht="15.75" customHeight="1" x14ac:dyDescent="0.35">
      <c r="A701" s="4"/>
      <c r="B701" s="4"/>
      <c r="C701" s="4"/>
      <c r="D701" s="4"/>
      <c r="E701" s="4"/>
      <c r="F701" s="4"/>
      <c r="G701" s="4"/>
    </row>
    <row r="702" spans="1:7" ht="15.75" customHeight="1" x14ac:dyDescent="0.35">
      <c r="A702" s="4"/>
      <c r="B702" s="4"/>
      <c r="C702" s="4"/>
      <c r="D702" s="4"/>
      <c r="E702" s="4"/>
      <c r="F702" s="4"/>
      <c r="G702" s="4"/>
    </row>
    <row r="703" spans="1:7" ht="15.75" customHeight="1" x14ac:dyDescent="0.35">
      <c r="A703" s="4"/>
      <c r="B703" s="4"/>
      <c r="C703" s="4"/>
      <c r="D703" s="4"/>
      <c r="E703" s="4"/>
      <c r="F703" s="4"/>
      <c r="G703" s="4"/>
    </row>
    <row r="704" spans="1:7" ht="15.75" customHeight="1" x14ac:dyDescent="0.35">
      <c r="A704" s="4"/>
      <c r="B704" s="4"/>
      <c r="C704" s="4"/>
      <c r="D704" s="4"/>
      <c r="E704" s="4"/>
      <c r="F704" s="4"/>
      <c r="G704" s="4"/>
    </row>
    <row r="705" spans="1:7" ht="15.75" customHeight="1" x14ac:dyDescent="0.35">
      <c r="A705" s="4"/>
      <c r="B705" s="4"/>
      <c r="C705" s="4"/>
      <c r="D705" s="4"/>
      <c r="E705" s="4"/>
      <c r="F705" s="4"/>
      <c r="G705" s="4"/>
    </row>
    <row r="706" spans="1:7" ht="15.75" customHeight="1" x14ac:dyDescent="0.35">
      <c r="A706" s="4"/>
      <c r="B706" s="4"/>
      <c r="C706" s="4"/>
      <c r="D706" s="4"/>
      <c r="E706" s="4"/>
      <c r="F706" s="4"/>
      <c r="G706" s="4"/>
    </row>
    <row r="707" spans="1:7" ht="15.75" customHeight="1" x14ac:dyDescent="0.35">
      <c r="A707" s="4"/>
      <c r="B707" s="4"/>
      <c r="C707" s="4"/>
      <c r="D707" s="4"/>
      <c r="E707" s="4"/>
      <c r="F707" s="4"/>
      <c r="G707" s="4"/>
    </row>
    <row r="708" spans="1:7" ht="15.75" customHeight="1" x14ac:dyDescent="0.35">
      <c r="A708" s="4"/>
      <c r="B708" s="4"/>
      <c r="C708" s="4"/>
      <c r="D708" s="4"/>
      <c r="E708" s="4"/>
      <c r="F708" s="4"/>
      <c r="G708" s="4"/>
    </row>
    <row r="709" spans="1:7" ht="15.75" customHeight="1" x14ac:dyDescent="0.35">
      <c r="A709" s="4"/>
      <c r="B709" s="4"/>
      <c r="C709" s="4"/>
      <c r="D709" s="4"/>
      <c r="E709" s="4"/>
      <c r="F709" s="4"/>
      <c r="G709" s="4"/>
    </row>
    <row r="710" spans="1:7" ht="15.75" customHeight="1" x14ac:dyDescent="0.35">
      <c r="A710" s="4"/>
      <c r="B710" s="4"/>
      <c r="C710" s="4"/>
      <c r="D710" s="4"/>
      <c r="E710" s="4"/>
      <c r="F710" s="4"/>
      <c r="G710" s="4"/>
    </row>
    <row r="711" spans="1:7" ht="15.75" customHeight="1" x14ac:dyDescent="0.35">
      <c r="A711" s="4"/>
      <c r="B711" s="4"/>
      <c r="C711" s="4"/>
      <c r="D711" s="4"/>
      <c r="E711" s="4"/>
      <c r="F711" s="4"/>
      <c r="G711" s="4"/>
    </row>
    <row r="712" spans="1:7" ht="15.75" customHeight="1" x14ac:dyDescent="0.35">
      <c r="A712" s="4"/>
      <c r="B712" s="4"/>
      <c r="C712" s="4"/>
      <c r="D712" s="4"/>
      <c r="E712" s="4"/>
      <c r="F712" s="4"/>
      <c r="G712" s="4"/>
    </row>
    <row r="713" spans="1:7" ht="15.75" customHeight="1" x14ac:dyDescent="0.35">
      <c r="A713" s="4"/>
      <c r="B713" s="4"/>
      <c r="C713" s="4"/>
      <c r="D713" s="4"/>
      <c r="E713" s="4"/>
      <c r="F713" s="4"/>
      <c r="G713" s="4"/>
    </row>
    <row r="714" spans="1:7" ht="15.75" customHeight="1" x14ac:dyDescent="0.35">
      <c r="A714" s="4"/>
      <c r="B714" s="4"/>
      <c r="C714" s="4"/>
      <c r="D714" s="4"/>
      <c r="E714" s="4"/>
      <c r="F714" s="4"/>
      <c r="G714" s="4"/>
    </row>
    <row r="715" spans="1:7" ht="15.75" customHeight="1" x14ac:dyDescent="0.35">
      <c r="A715" s="4"/>
      <c r="B715" s="4"/>
      <c r="C715" s="4"/>
      <c r="D715" s="4"/>
      <c r="E715" s="4"/>
      <c r="F715" s="4"/>
      <c r="G715" s="4"/>
    </row>
    <row r="716" spans="1:7" ht="15.75" customHeight="1" x14ac:dyDescent="0.35">
      <c r="A716" s="4"/>
      <c r="B716" s="4"/>
      <c r="C716" s="4"/>
      <c r="D716" s="4"/>
      <c r="E716" s="4"/>
      <c r="F716" s="4"/>
      <c r="G716" s="4"/>
    </row>
    <row r="717" spans="1:7" ht="15.75" customHeight="1" x14ac:dyDescent="0.35">
      <c r="A717" s="4"/>
      <c r="B717" s="4"/>
      <c r="C717" s="4"/>
      <c r="D717" s="4"/>
      <c r="E717" s="4"/>
      <c r="F717" s="4"/>
      <c r="G717" s="4"/>
    </row>
    <row r="718" spans="1:7" ht="15.75" customHeight="1" x14ac:dyDescent="0.35">
      <c r="A718" s="4"/>
      <c r="B718" s="4"/>
      <c r="C718" s="4"/>
      <c r="D718" s="4"/>
      <c r="E718" s="4"/>
      <c r="F718" s="4"/>
      <c r="G718" s="4"/>
    </row>
    <row r="719" spans="1:7" ht="15.75" customHeight="1" x14ac:dyDescent="0.35">
      <c r="A719" s="4"/>
      <c r="B719" s="4"/>
      <c r="C719" s="4"/>
      <c r="D719" s="4"/>
      <c r="E719" s="4"/>
      <c r="F719" s="4"/>
      <c r="G719" s="4"/>
    </row>
    <row r="720" spans="1:7" ht="15.75" customHeight="1" x14ac:dyDescent="0.35">
      <c r="A720" s="4"/>
      <c r="B720" s="4"/>
      <c r="C720" s="4"/>
      <c r="D720" s="4"/>
      <c r="E720" s="4"/>
      <c r="F720" s="4"/>
      <c r="G720" s="4"/>
    </row>
    <row r="721" spans="1:7" ht="15.75" customHeight="1" x14ac:dyDescent="0.35">
      <c r="A721" s="4"/>
      <c r="B721" s="4"/>
      <c r="C721" s="4"/>
      <c r="D721" s="4"/>
      <c r="E721" s="4"/>
      <c r="F721" s="4"/>
      <c r="G721" s="4"/>
    </row>
    <row r="722" spans="1:7" ht="15.75" customHeight="1" x14ac:dyDescent="0.35">
      <c r="A722" s="4"/>
      <c r="B722" s="4"/>
      <c r="C722" s="4"/>
      <c r="D722" s="4"/>
      <c r="E722" s="4"/>
      <c r="F722" s="4"/>
      <c r="G722" s="4"/>
    </row>
    <row r="723" spans="1:7" ht="15.75" customHeight="1" x14ac:dyDescent="0.35">
      <c r="A723" s="4"/>
      <c r="B723" s="4"/>
      <c r="C723" s="4"/>
      <c r="D723" s="4"/>
      <c r="E723" s="4"/>
      <c r="F723" s="4"/>
      <c r="G723" s="4"/>
    </row>
    <row r="724" spans="1:7" ht="15.75" customHeight="1" x14ac:dyDescent="0.35">
      <c r="A724" s="4"/>
      <c r="B724" s="4"/>
      <c r="C724" s="4"/>
      <c r="D724" s="4"/>
      <c r="E724" s="4"/>
      <c r="F724" s="4"/>
      <c r="G724" s="4"/>
    </row>
    <row r="725" spans="1:7" ht="15.75" customHeight="1" x14ac:dyDescent="0.35">
      <c r="A725" s="4"/>
      <c r="B725" s="4"/>
      <c r="C725" s="4"/>
      <c r="D725" s="4"/>
      <c r="E725" s="4"/>
      <c r="F725" s="4"/>
      <c r="G725" s="4"/>
    </row>
    <row r="726" spans="1:7" ht="15.75" customHeight="1" x14ac:dyDescent="0.35">
      <c r="A726" s="4"/>
      <c r="B726" s="4"/>
      <c r="C726" s="4"/>
      <c r="D726" s="4"/>
      <c r="E726" s="4"/>
      <c r="F726" s="4"/>
      <c r="G726" s="4"/>
    </row>
    <row r="727" spans="1:7" ht="15.75" customHeight="1" x14ac:dyDescent="0.35">
      <c r="A727" s="4"/>
      <c r="B727" s="4"/>
      <c r="C727" s="4"/>
      <c r="D727" s="4"/>
      <c r="E727" s="4"/>
      <c r="F727" s="4"/>
      <c r="G727" s="4"/>
    </row>
    <row r="728" spans="1:7" ht="15.75" customHeight="1" x14ac:dyDescent="0.35">
      <c r="A728" s="4"/>
      <c r="B728" s="4"/>
      <c r="C728" s="4"/>
      <c r="D728" s="4"/>
      <c r="E728" s="4"/>
      <c r="F728" s="4"/>
      <c r="G728" s="4"/>
    </row>
    <row r="729" spans="1:7" ht="15.75" customHeight="1" x14ac:dyDescent="0.35">
      <c r="A729" s="4"/>
      <c r="B729" s="4"/>
      <c r="C729" s="4"/>
      <c r="D729" s="4"/>
      <c r="E729" s="4"/>
      <c r="F729" s="4"/>
      <c r="G729" s="4"/>
    </row>
    <row r="730" spans="1:7" ht="15.75" customHeight="1" x14ac:dyDescent="0.35">
      <c r="A730" s="4"/>
      <c r="B730" s="4"/>
      <c r="C730" s="4"/>
      <c r="D730" s="4"/>
      <c r="E730" s="4"/>
      <c r="F730" s="4"/>
      <c r="G730" s="4"/>
    </row>
    <row r="731" spans="1:7" ht="15.75" customHeight="1" x14ac:dyDescent="0.35">
      <c r="A731" s="4"/>
      <c r="B731" s="4"/>
      <c r="C731" s="4"/>
      <c r="D731" s="4"/>
      <c r="E731" s="4"/>
      <c r="F731" s="4"/>
      <c r="G731" s="4"/>
    </row>
    <row r="732" spans="1:7" ht="15.75" customHeight="1" x14ac:dyDescent="0.35">
      <c r="A732" s="4"/>
      <c r="B732" s="4"/>
      <c r="C732" s="4"/>
      <c r="D732" s="4"/>
      <c r="E732" s="4"/>
      <c r="F732" s="4"/>
      <c r="G732" s="4"/>
    </row>
    <row r="733" spans="1:7" ht="15.75" customHeight="1" x14ac:dyDescent="0.35">
      <c r="A733" s="4"/>
      <c r="B733" s="4"/>
      <c r="C733" s="4"/>
      <c r="D733" s="4"/>
      <c r="E733" s="4"/>
      <c r="F733" s="4"/>
      <c r="G733" s="4"/>
    </row>
    <row r="734" spans="1:7" ht="15.75" customHeight="1" x14ac:dyDescent="0.35">
      <c r="A734" s="4"/>
      <c r="B734" s="4"/>
      <c r="C734" s="4"/>
      <c r="D734" s="4"/>
      <c r="E734" s="4"/>
      <c r="F734" s="4"/>
      <c r="G734" s="4"/>
    </row>
    <row r="735" spans="1:7" ht="15.75" customHeight="1" x14ac:dyDescent="0.35">
      <c r="A735" s="4"/>
      <c r="B735" s="4"/>
      <c r="C735" s="4"/>
      <c r="D735" s="4"/>
      <c r="E735" s="4"/>
      <c r="F735" s="4"/>
      <c r="G735" s="4"/>
    </row>
    <row r="736" spans="1:7" ht="15.75" customHeight="1" x14ac:dyDescent="0.35">
      <c r="A736" s="4"/>
      <c r="B736" s="4"/>
      <c r="C736" s="4"/>
      <c r="D736" s="4"/>
      <c r="E736" s="4"/>
      <c r="F736" s="4"/>
      <c r="G736" s="4"/>
    </row>
    <row r="737" spans="1:7" ht="15.75" customHeight="1" x14ac:dyDescent="0.35">
      <c r="A737" s="4"/>
      <c r="B737" s="4"/>
      <c r="C737" s="4"/>
      <c r="D737" s="4"/>
      <c r="E737" s="4"/>
      <c r="F737" s="4"/>
      <c r="G737" s="4"/>
    </row>
    <row r="738" spans="1:7" ht="15.75" customHeight="1" x14ac:dyDescent="0.35">
      <c r="A738" s="4"/>
      <c r="B738" s="4"/>
      <c r="C738" s="4"/>
      <c r="D738" s="4"/>
      <c r="E738" s="4"/>
      <c r="F738" s="4"/>
      <c r="G738" s="4"/>
    </row>
    <row r="739" spans="1:7" ht="15.75" customHeight="1" x14ac:dyDescent="0.35">
      <c r="A739" s="4"/>
      <c r="B739" s="4"/>
      <c r="C739" s="4"/>
      <c r="D739" s="4"/>
      <c r="E739" s="4"/>
      <c r="F739" s="4"/>
      <c r="G739" s="4"/>
    </row>
    <row r="740" spans="1:7" ht="15.75" customHeight="1" x14ac:dyDescent="0.35">
      <c r="A740" s="4"/>
      <c r="B740" s="4"/>
      <c r="C740" s="4"/>
      <c r="D740" s="4"/>
      <c r="E740" s="4"/>
      <c r="F740" s="4"/>
      <c r="G740" s="4"/>
    </row>
    <row r="741" spans="1:7" ht="15.75" customHeight="1" x14ac:dyDescent="0.35">
      <c r="A741" s="4"/>
      <c r="B741" s="4"/>
      <c r="C741" s="4"/>
      <c r="D741" s="4"/>
      <c r="E741" s="4"/>
      <c r="F741" s="4"/>
      <c r="G741" s="4"/>
    </row>
    <row r="742" spans="1:7" ht="15.75" customHeight="1" x14ac:dyDescent="0.35">
      <c r="A742" s="4"/>
      <c r="B742" s="4"/>
      <c r="C742" s="4"/>
      <c r="D742" s="4"/>
      <c r="E742" s="4"/>
      <c r="F742" s="4"/>
      <c r="G742" s="4"/>
    </row>
    <row r="743" spans="1:7" ht="15.75" customHeight="1" x14ac:dyDescent="0.35">
      <c r="A743" s="4"/>
      <c r="B743" s="4"/>
      <c r="C743" s="4"/>
      <c r="D743" s="4"/>
      <c r="E743" s="4"/>
      <c r="F743" s="4"/>
      <c r="G743" s="4"/>
    </row>
    <row r="744" spans="1:7" ht="15.75" customHeight="1" x14ac:dyDescent="0.35">
      <c r="A744" s="4"/>
      <c r="B744" s="4"/>
      <c r="C744" s="4"/>
      <c r="D744" s="4"/>
      <c r="E744" s="4"/>
      <c r="F744" s="4"/>
      <c r="G744" s="4"/>
    </row>
    <row r="745" spans="1:7" ht="15.75" customHeight="1" x14ac:dyDescent="0.35">
      <c r="A745" s="4"/>
      <c r="B745" s="4"/>
      <c r="C745" s="4"/>
      <c r="D745" s="4"/>
      <c r="E745" s="4"/>
      <c r="F745" s="4"/>
      <c r="G745" s="4"/>
    </row>
    <row r="746" spans="1:7" ht="15.75" customHeight="1" x14ac:dyDescent="0.35">
      <c r="A746" s="4"/>
      <c r="B746" s="4"/>
      <c r="C746" s="4"/>
      <c r="D746" s="4"/>
      <c r="E746" s="4"/>
      <c r="F746" s="4"/>
      <c r="G746" s="4"/>
    </row>
    <row r="747" spans="1:7" ht="15.75" customHeight="1" x14ac:dyDescent="0.35">
      <c r="A747" s="4"/>
      <c r="B747" s="4"/>
      <c r="C747" s="4"/>
      <c r="D747" s="4"/>
      <c r="E747" s="4"/>
      <c r="F747" s="4"/>
      <c r="G747" s="4"/>
    </row>
    <row r="748" spans="1:7" ht="15.75" customHeight="1" x14ac:dyDescent="0.35">
      <c r="A748" s="4"/>
      <c r="B748" s="4"/>
      <c r="C748" s="4"/>
      <c r="D748" s="4"/>
      <c r="E748" s="4"/>
      <c r="F748" s="4"/>
      <c r="G748" s="4"/>
    </row>
    <row r="749" spans="1:7" ht="15.75" customHeight="1" x14ac:dyDescent="0.35">
      <c r="A749" s="4"/>
      <c r="B749" s="4"/>
      <c r="C749" s="4"/>
      <c r="D749" s="4"/>
      <c r="E749" s="4"/>
      <c r="F749" s="4"/>
      <c r="G749" s="4"/>
    </row>
    <row r="750" spans="1:7" ht="15.75" customHeight="1" x14ac:dyDescent="0.35">
      <c r="A750" s="4"/>
      <c r="B750" s="4"/>
      <c r="C750" s="4"/>
      <c r="D750" s="4"/>
      <c r="E750" s="4"/>
      <c r="F750" s="4"/>
      <c r="G750" s="4"/>
    </row>
    <row r="751" spans="1:7" ht="15.75" customHeight="1" x14ac:dyDescent="0.35">
      <c r="A751" s="4"/>
      <c r="B751" s="4"/>
      <c r="C751" s="4"/>
      <c r="D751" s="4"/>
      <c r="E751" s="4"/>
      <c r="F751" s="4"/>
      <c r="G751" s="4"/>
    </row>
    <row r="752" spans="1:7" ht="15.75" customHeight="1" x14ac:dyDescent="0.35">
      <c r="A752" s="4"/>
      <c r="B752" s="4"/>
      <c r="C752" s="4"/>
      <c r="D752" s="4"/>
      <c r="E752" s="4"/>
      <c r="F752" s="4"/>
      <c r="G752" s="4"/>
    </row>
    <row r="753" spans="1:7" ht="15.75" customHeight="1" x14ac:dyDescent="0.35">
      <c r="A753" s="4"/>
      <c r="B753" s="4"/>
      <c r="C753" s="4"/>
      <c r="D753" s="4"/>
      <c r="E753" s="4"/>
      <c r="F753" s="4"/>
      <c r="G753" s="4"/>
    </row>
    <row r="754" spans="1:7" ht="15.75" customHeight="1" x14ac:dyDescent="0.35">
      <c r="A754" s="4"/>
      <c r="B754" s="4"/>
      <c r="C754" s="4"/>
      <c r="D754" s="4"/>
      <c r="E754" s="4"/>
      <c r="F754" s="4"/>
      <c r="G754" s="4"/>
    </row>
    <row r="755" spans="1:7" ht="15.75" customHeight="1" x14ac:dyDescent="0.35">
      <c r="A755" s="4"/>
      <c r="B755" s="4"/>
      <c r="C755" s="4"/>
      <c r="D755" s="4"/>
      <c r="E755" s="4"/>
      <c r="F755" s="4"/>
      <c r="G755" s="4"/>
    </row>
    <row r="756" spans="1:7" ht="15.75" customHeight="1" x14ac:dyDescent="0.35">
      <c r="A756" s="4"/>
      <c r="B756" s="4"/>
      <c r="C756" s="4"/>
      <c r="D756" s="4"/>
      <c r="E756" s="4"/>
      <c r="F756" s="4"/>
      <c r="G756" s="4"/>
    </row>
    <row r="757" spans="1:7" ht="15.75" customHeight="1" x14ac:dyDescent="0.35">
      <c r="A757" s="4"/>
      <c r="B757" s="4"/>
      <c r="C757" s="4"/>
      <c r="D757" s="4"/>
      <c r="E757" s="4"/>
      <c r="F757" s="4"/>
      <c r="G757" s="4"/>
    </row>
    <row r="758" spans="1:7" ht="15.75" customHeight="1" x14ac:dyDescent="0.35">
      <c r="A758" s="4"/>
      <c r="B758" s="4"/>
      <c r="C758" s="4"/>
      <c r="D758" s="4"/>
      <c r="E758" s="4"/>
      <c r="F758" s="4"/>
      <c r="G758" s="4"/>
    </row>
    <row r="759" spans="1:7" ht="15.75" customHeight="1" x14ac:dyDescent="0.35">
      <c r="A759" s="4"/>
      <c r="B759" s="4"/>
      <c r="C759" s="4"/>
      <c r="D759" s="4"/>
      <c r="E759" s="4"/>
      <c r="F759" s="4"/>
      <c r="G759" s="4"/>
    </row>
    <row r="760" spans="1:7" ht="15.75" customHeight="1" x14ac:dyDescent="0.35">
      <c r="A760" s="4"/>
      <c r="B760" s="4"/>
      <c r="C760" s="4"/>
      <c r="D760" s="4"/>
      <c r="E760" s="4"/>
      <c r="F760" s="4"/>
      <c r="G760" s="4"/>
    </row>
    <row r="761" spans="1:7" ht="15.75" customHeight="1" x14ac:dyDescent="0.35">
      <c r="A761" s="4"/>
      <c r="B761" s="4"/>
      <c r="C761" s="4"/>
      <c r="D761" s="4"/>
      <c r="E761" s="4"/>
      <c r="F761" s="4"/>
      <c r="G761" s="4"/>
    </row>
    <row r="762" spans="1:7" ht="15.75" customHeight="1" x14ac:dyDescent="0.35">
      <c r="A762" s="4"/>
      <c r="B762" s="4"/>
      <c r="C762" s="4"/>
      <c r="D762" s="4"/>
      <c r="E762" s="4"/>
      <c r="F762" s="4"/>
      <c r="G762" s="4"/>
    </row>
    <row r="763" spans="1:7" ht="15.75" customHeight="1" x14ac:dyDescent="0.35">
      <c r="A763" s="4"/>
      <c r="B763" s="4"/>
      <c r="C763" s="4"/>
      <c r="D763" s="4"/>
      <c r="E763" s="4"/>
      <c r="F763" s="4"/>
      <c r="G763" s="4"/>
    </row>
    <row r="764" spans="1:7" ht="15.75" customHeight="1" x14ac:dyDescent="0.35">
      <c r="A764" s="4"/>
      <c r="B764" s="4"/>
      <c r="C764" s="4"/>
      <c r="D764" s="4"/>
      <c r="E764" s="4"/>
      <c r="F764" s="4"/>
      <c r="G764" s="4"/>
    </row>
    <row r="765" spans="1:7" ht="15.75" customHeight="1" x14ac:dyDescent="0.35">
      <c r="A765" s="4"/>
      <c r="B765" s="4"/>
      <c r="C765" s="4"/>
      <c r="D765" s="4"/>
      <c r="E765" s="4"/>
      <c r="F765" s="4"/>
      <c r="G765" s="4"/>
    </row>
    <row r="766" spans="1:7" ht="15.75" customHeight="1" x14ac:dyDescent="0.35">
      <c r="A766" s="4"/>
      <c r="B766" s="4"/>
      <c r="C766" s="4"/>
      <c r="D766" s="4"/>
      <c r="E766" s="4"/>
      <c r="F766" s="4"/>
      <c r="G766" s="4"/>
    </row>
    <row r="767" spans="1:7" ht="15.75" customHeight="1" x14ac:dyDescent="0.35">
      <c r="A767" s="4"/>
      <c r="B767" s="4"/>
      <c r="C767" s="4"/>
      <c r="D767" s="4"/>
      <c r="E767" s="4"/>
      <c r="F767" s="4"/>
      <c r="G767" s="4"/>
    </row>
    <row r="768" spans="1:7" ht="15.75" customHeight="1" x14ac:dyDescent="0.35">
      <c r="A768" s="4"/>
      <c r="B768" s="4"/>
      <c r="C768" s="4"/>
      <c r="D768" s="4"/>
      <c r="E768" s="4"/>
      <c r="F768" s="4"/>
      <c r="G768" s="4"/>
    </row>
    <row r="769" spans="1:7" ht="15.75" customHeight="1" x14ac:dyDescent="0.35">
      <c r="A769" s="4"/>
      <c r="B769" s="4"/>
      <c r="C769" s="4"/>
      <c r="D769" s="4"/>
      <c r="E769" s="4"/>
      <c r="F769" s="4"/>
      <c r="G769" s="4"/>
    </row>
    <row r="770" spans="1:7" ht="15.75" customHeight="1" x14ac:dyDescent="0.35">
      <c r="A770" s="4"/>
      <c r="B770" s="4"/>
      <c r="C770" s="4"/>
      <c r="D770" s="4"/>
      <c r="E770" s="4"/>
      <c r="F770" s="4"/>
      <c r="G770" s="4"/>
    </row>
    <row r="771" spans="1:7" ht="15.75" customHeight="1" x14ac:dyDescent="0.35">
      <c r="A771" s="4"/>
      <c r="B771" s="4"/>
      <c r="C771" s="4"/>
      <c r="D771" s="4"/>
      <c r="E771" s="4"/>
      <c r="F771" s="4"/>
      <c r="G771" s="4"/>
    </row>
    <row r="772" spans="1:7" ht="15.75" customHeight="1" x14ac:dyDescent="0.35">
      <c r="A772" s="4"/>
      <c r="B772" s="4"/>
      <c r="C772" s="4"/>
      <c r="D772" s="4"/>
      <c r="E772" s="4"/>
      <c r="F772" s="4"/>
      <c r="G772" s="4"/>
    </row>
    <row r="773" spans="1:7" ht="15.75" customHeight="1" x14ac:dyDescent="0.35">
      <c r="A773" s="4"/>
      <c r="B773" s="4"/>
      <c r="C773" s="4"/>
      <c r="D773" s="4"/>
      <c r="E773" s="4"/>
      <c r="F773" s="4"/>
      <c r="G773" s="4"/>
    </row>
    <row r="774" spans="1:7" ht="15.75" customHeight="1" x14ac:dyDescent="0.35">
      <c r="A774" s="4"/>
      <c r="B774" s="4"/>
      <c r="C774" s="4"/>
      <c r="D774" s="4"/>
      <c r="E774" s="4"/>
      <c r="F774" s="4"/>
      <c r="G774" s="4"/>
    </row>
    <row r="775" spans="1:7" ht="15.75" customHeight="1" x14ac:dyDescent="0.35">
      <c r="A775" s="4"/>
      <c r="B775" s="4"/>
      <c r="C775" s="4"/>
      <c r="D775" s="4"/>
      <c r="E775" s="4"/>
      <c r="F775" s="4"/>
      <c r="G775" s="4"/>
    </row>
    <row r="776" spans="1:7" ht="15.75" customHeight="1" x14ac:dyDescent="0.35">
      <c r="A776" s="4"/>
      <c r="B776" s="4"/>
      <c r="C776" s="4"/>
      <c r="D776" s="4"/>
      <c r="E776" s="4"/>
      <c r="F776" s="4"/>
      <c r="G776" s="4"/>
    </row>
    <row r="777" spans="1:7" ht="15.75" customHeight="1" x14ac:dyDescent="0.35">
      <c r="A777" s="4"/>
      <c r="B777" s="4"/>
      <c r="C777" s="4"/>
      <c r="D777" s="4"/>
      <c r="E777" s="4"/>
      <c r="F777" s="4"/>
      <c r="G777" s="4"/>
    </row>
    <row r="778" spans="1:7" ht="15.75" customHeight="1" x14ac:dyDescent="0.35">
      <c r="A778" s="4"/>
      <c r="B778" s="4"/>
      <c r="C778" s="4"/>
      <c r="D778" s="4"/>
      <c r="E778" s="4"/>
      <c r="F778" s="4"/>
      <c r="G778" s="4"/>
    </row>
    <row r="779" spans="1:7" ht="15.75" customHeight="1" x14ac:dyDescent="0.35">
      <c r="A779" s="4"/>
      <c r="B779" s="4"/>
      <c r="C779" s="4"/>
      <c r="D779" s="4"/>
      <c r="E779" s="4"/>
      <c r="F779" s="4"/>
      <c r="G779" s="4"/>
    </row>
    <row r="780" spans="1:7" ht="15.75" customHeight="1" x14ac:dyDescent="0.35">
      <c r="A780" s="4"/>
      <c r="B780" s="4"/>
      <c r="C780" s="4"/>
      <c r="D780" s="4"/>
      <c r="E780" s="4"/>
      <c r="F780" s="4"/>
      <c r="G780" s="4"/>
    </row>
    <row r="781" spans="1:7" ht="15.75" customHeight="1" x14ac:dyDescent="0.35">
      <c r="A781" s="4"/>
      <c r="B781" s="4"/>
      <c r="C781" s="4"/>
      <c r="D781" s="4"/>
      <c r="E781" s="4"/>
      <c r="F781" s="4"/>
      <c r="G781" s="4"/>
    </row>
    <row r="782" spans="1:7" ht="15.75" customHeight="1" x14ac:dyDescent="0.35">
      <c r="A782" s="4"/>
      <c r="B782" s="4"/>
      <c r="C782" s="4"/>
      <c r="D782" s="4"/>
      <c r="E782" s="4"/>
      <c r="F782" s="4"/>
      <c r="G782" s="4"/>
    </row>
    <row r="783" spans="1:7" ht="15.75" customHeight="1" x14ac:dyDescent="0.35">
      <c r="A783" s="4"/>
      <c r="B783" s="4"/>
      <c r="C783" s="4"/>
      <c r="D783" s="4"/>
      <c r="E783" s="4"/>
      <c r="F783" s="4"/>
      <c r="G783" s="4"/>
    </row>
    <row r="784" spans="1:7" ht="15.75" customHeight="1" x14ac:dyDescent="0.35">
      <c r="A784" s="4"/>
      <c r="B784" s="4"/>
      <c r="C784" s="4"/>
      <c r="D784" s="4"/>
      <c r="E784" s="4"/>
      <c r="F784" s="4"/>
      <c r="G784" s="4"/>
    </row>
    <row r="785" spans="1:7" ht="15.75" customHeight="1" x14ac:dyDescent="0.35">
      <c r="A785" s="4"/>
      <c r="B785" s="4"/>
      <c r="C785" s="4"/>
      <c r="D785" s="4"/>
      <c r="E785" s="4"/>
      <c r="F785" s="4"/>
      <c r="G785" s="4"/>
    </row>
    <row r="786" spans="1:7" ht="15.75" customHeight="1" x14ac:dyDescent="0.35">
      <c r="A786" s="4"/>
      <c r="B786" s="4"/>
      <c r="C786" s="4"/>
      <c r="D786" s="4"/>
      <c r="E786" s="4"/>
      <c r="F786" s="4"/>
      <c r="G786" s="4"/>
    </row>
    <row r="787" spans="1:7" ht="15.75" customHeight="1" x14ac:dyDescent="0.35">
      <c r="A787" s="4"/>
      <c r="B787" s="4"/>
      <c r="C787" s="4"/>
      <c r="D787" s="4"/>
      <c r="E787" s="4"/>
      <c r="F787" s="4"/>
      <c r="G787" s="4"/>
    </row>
    <row r="788" spans="1:7" ht="15.75" customHeight="1" x14ac:dyDescent="0.35">
      <c r="A788" s="4"/>
      <c r="B788" s="4"/>
      <c r="C788" s="4"/>
      <c r="D788" s="4"/>
      <c r="E788" s="4"/>
      <c r="F788" s="4"/>
      <c r="G788" s="4"/>
    </row>
    <row r="789" spans="1:7" ht="15.75" customHeight="1" x14ac:dyDescent="0.35">
      <c r="A789" s="4"/>
      <c r="B789" s="4"/>
      <c r="C789" s="4"/>
      <c r="D789" s="4"/>
      <c r="E789" s="4"/>
      <c r="F789" s="4"/>
      <c r="G789" s="4"/>
    </row>
    <row r="790" spans="1:7" ht="15.75" customHeight="1" x14ac:dyDescent="0.35">
      <c r="A790" s="4"/>
      <c r="B790" s="4"/>
      <c r="C790" s="4"/>
      <c r="D790" s="4"/>
      <c r="E790" s="4"/>
      <c r="F790" s="4"/>
      <c r="G790" s="4"/>
    </row>
    <row r="791" spans="1:7" ht="15.75" customHeight="1" x14ac:dyDescent="0.35">
      <c r="A791" s="4"/>
      <c r="B791" s="4"/>
      <c r="C791" s="4"/>
      <c r="D791" s="4"/>
      <c r="E791" s="4"/>
      <c r="F791" s="4"/>
      <c r="G791" s="4"/>
    </row>
    <row r="792" spans="1:7" ht="15.75" customHeight="1" x14ac:dyDescent="0.35">
      <c r="A792" s="4"/>
      <c r="B792" s="4"/>
      <c r="C792" s="4"/>
      <c r="D792" s="4"/>
      <c r="E792" s="4"/>
      <c r="F792" s="4"/>
      <c r="G792" s="4"/>
    </row>
    <row r="793" spans="1:7" ht="15.75" customHeight="1" x14ac:dyDescent="0.35">
      <c r="A793" s="4"/>
      <c r="B793" s="4"/>
      <c r="C793" s="4"/>
      <c r="D793" s="4"/>
      <c r="E793" s="4"/>
      <c r="F793" s="4"/>
      <c r="G793" s="4"/>
    </row>
    <row r="794" spans="1:7" ht="15.75" customHeight="1" x14ac:dyDescent="0.35">
      <c r="A794" s="4"/>
      <c r="B794" s="4"/>
      <c r="C794" s="4"/>
      <c r="D794" s="4"/>
      <c r="E794" s="4"/>
      <c r="F794" s="4"/>
      <c r="G794" s="4"/>
    </row>
    <row r="795" spans="1:7" ht="15.75" customHeight="1" x14ac:dyDescent="0.35">
      <c r="A795" s="4"/>
      <c r="B795" s="4"/>
      <c r="C795" s="4"/>
      <c r="D795" s="4"/>
      <c r="E795" s="4"/>
      <c r="F795" s="4"/>
      <c r="G795" s="4"/>
    </row>
    <row r="796" spans="1:7" ht="15.75" customHeight="1" x14ac:dyDescent="0.35">
      <c r="A796" s="4"/>
      <c r="B796" s="4"/>
      <c r="C796" s="4"/>
      <c r="D796" s="4"/>
      <c r="E796" s="4"/>
      <c r="F796" s="4"/>
      <c r="G796" s="4"/>
    </row>
    <row r="797" spans="1:7" ht="15.75" customHeight="1" x14ac:dyDescent="0.35">
      <c r="A797" s="4"/>
      <c r="B797" s="4"/>
      <c r="C797" s="4"/>
      <c r="D797" s="4"/>
      <c r="E797" s="4"/>
      <c r="F797" s="4"/>
      <c r="G797" s="4"/>
    </row>
    <row r="798" spans="1:7" ht="15.75" customHeight="1" x14ac:dyDescent="0.35">
      <c r="A798" s="4"/>
      <c r="B798" s="4"/>
      <c r="C798" s="4"/>
      <c r="D798" s="4"/>
      <c r="E798" s="4"/>
      <c r="F798" s="4"/>
      <c r="G798" s="4"/>
    </row>
    <row r="799" spans="1:7" ht="15.75" customHeight="1" x14ac:dyDescent="0.35">
      <c r="A799" s="4"/>
      <c r="B799" s="4"/>
      <c r="C799" s="4"/>
      <c r="D799" s="4"/>
      <c r="E799" s="4"/>
      <c r="F799" s="4"/>
      <c r="G799" s="4"/>
    </row>
    <row r="800" spans="1:7" ht="15.75" customHeight="1" x14ac:dyDescent="0.35">
      <c r="A800" s="4"/>
      <c r="B800" s="4"/>
      <c r="C800" s="4"/>
      <c r="D800" s="4"/>
      <c r="E800" s="4"/>
      <c r="F800" s="4"/>
      <c r="G800" s="4"/>
    </row>
    <row r="801" spans="1:7" ht="15.75" customHeight="1" x14ac:dyDescent="0.35">
      <c r="A801" s="4"/>
      <c r="B801" s="4"/>
      <c r="C801" s="4"/>
      <c r="D801" s="4"/>
      <c r="E801" s="4"/>
      <c r="F801" s="4"/>
      <c r="G801" s="4"/>
    </row>
    <row r="802" spans="1:7" ht="15.75" customHeight="1" x14ac:dyDescent="0.35">
      <c r="A802" s="4"/>
      <c r="B802" s="4"/>
      <c r="C802" s="4"/>
      <c r="D802" s="4"/>
      <c r="E802" s="4"/>
      <c r="F802" s="4"/>
      <c r="G802" s="4"/>
    </row>
    <row r="803" spans="1:7" ht="15.75" customHeight="1" x14ac:dyDescent="0.35">
      <c r="A803" s="4"/>
      <c r="B803" s="4"/>
      <c r="C803" s="4"/>
      <c r="D803" s="4"/>
      <c r="E803" s="4"/>
      <c r="F803" s="4"/>
      <c r="G803" s="4"/>
    </row>
    <row r="804" spans="1:7" ht="15.75" customHeight="1" x14ac:dyDescent="0.35">
      <c r="A804" s="4"/>
      <c r="B804" s="4"/>
      <c r="C804" s="4"/>
      <c r="D804" s="4"/>
      <c r="E804" s="4"/>
      <c r="F804" s="4"/>
      <c r="G804" s="4"/>
    </row>
    <row r="805" spans="1:7" ht="15.75" customHeight="1" x14ac:dyDescent="0.35">
      <c r="A805" s="4"/>
      <c r="B805" s="4"/>
      <c r="C805" s="4"/>
      <c r="D805" s="4"/>
      <c r="E805" s="4"/>
      <c r="F805" s="4"/>
      <c r="G805" s="4"/>
    </row>
    <row r="806" spans="1:7" ht="15.75" customHeight="1" x14ac:dyDescent="0.35">
      <c r="A806" s="4"/>
      <c r="B806" s="4"/>
      <c r="C806" s="4"/>
      <c r="D806" s="4"/>
      <c r="E806" s="4"/>
      <c r="F806" s="4"/>
      <c r="G806" s="4"/>
    </row>
    <row r="807" spans="1:7" ht="15.75" customHeight="1" x14ac:dyDescent="0.35">
      <c r="A807" s="4"/>
      <c r="B807" s="4"/>
      <c r="C807" s="4"/>
      <c r="D807" s="4"/>
      <c r="E807" s="4"/>
      <c r="F807" s="4"/>
      <c r="G807" s="4"/>
    </row>
    <row r="808" spans="1:7" ht="15.75" customHeight="1" x14ac:dyDescent="0.35">
      <c r="A808" s="4"/>
      <c r="B808" s="4"/>
      <c r="C808" s="4"/>
      <c r="D808" s="4"/>
      <c r="E808" s="4"/>
      <c r="F808" s="4"/>
      <c r="G808" s="4"/>
    </row>
    <row r="809" spans="1:7" ht="15.75" customHeight="1" x14ac:dyDescent="0.35">
      <c r="A809" s="4"/>
      <c r="B809" s="4"/>
      <c r="C809" s="4"/>
      <c r="D809" s="4"/>
      <c r="E809" s="4"/>
      <c r="F809" s="4"/>
      <c r="G809" s="4"/>
    </row>
    <row r="810" spans="1:7" ht="15.75" customHeight="1" x14ac:dyDescent="0.35">
      <c r="A810" s="4"/>
      <c r="B810" s="4"/>
      <c r="C810" s="4"/>
      <c r="D810" s="4"/>
      <c r="E810" s="4"/>
      <c r="F810" s="4"/>
      <c r="G810" s="4"/>
    </row>
    <row r="811" spans="1:7" ht="15.75" customHeight="1" x14ac:dyDescent="0.35">
      <c r="A811" s="4"/>
      <c r="B811" s="4"/>
      <c r="C811" s="4"/>
      <c r="D811" s="4"/>
      <c r="E811" s="4"/>
      <c r="F811" s="4"/>
      <c r="G811" s="4"/>
    </row>
    <row r="812" spans="1:7" ht="15.75" customHeight="1" x14ac:dyDescent="0.35">
      <c r="A812" s="4"/>
      <c r="B812" s="4"/>
      <c r="C812" s="4"/>
      <c r="D812" s="4"/>
      <c r="E812" s="4"/>
      <c r="F812" s="4"/>
      <c r="G812" s="4"/>
    </row>
    <row r="813" spans="1:7" ht="15.75" customHeight="1" x14ac:dyDescent="0.35">
      <c r="A813" s="4"/>
      <c r="B813" s="4"/>
      <c r="C813" s="4"/>
      <c r="D813" s="4"/>
      <c r="E813" s="4"/>
      <c r="F813" s="4"/>
      <c r="G813" s="4"/>
    </row>
    <row r="814" spans="1:7" ht="15.75" customHeight="1" x14ac:dyDescent="0.35">
      <c r="A814" s="4"/>
      <c r="B814" s="4"/>
      <c r="C814" s="4"/>
      <c r="D814" s="4"/>
      <c r="E814" s="4"/>
      <c r="F814" s="4"/>
      <c r="G814" s="4"/>
    </row>
    <row r="815" spans="1:7" ht="15.75" customHeight="1" x14ac:dyDescent="0.35">
      <c r="A815" s="4"/>
      <c r="B815" s="4"/>
      <c r="C815" s="4"/>
      <c r="D815" s="4"/>
      <c r="E815" s="4"/>
      <c r="F815" s="4"/>
      <c r="G815" s="4"/>
    </row>
    <row r="816" spans="1:7" ht="15.75" customHeight="1" x14ac:dyDescent="0.35">
      <c r="A816" s="4"/>
      <c r="B816" s="4"/>
      <c r="C816" s="4"/>
      <c r="D816" s="4"/>
      <c r="E816" s="4"/>
      <c r="F816" s="4"/>
      <c r="G816" s="4"/>
    </row>
    <row r="817" spans="1:7" ht="15.75" customHeight="1" x14ac:dyDescent="0.35">
      <c r="A817" s="4"/>
      <c r="B817" s="4"/>
      <c r="C817" s="4"/>
      <c r="D817" s="4"/>
      <c r="E817" s="4"/>
      <c r="F817" s="4"/>
      <c r="G817" s="4"/>
    </row>
    <row r="818" spans="1:7" ht="15.75" customHeight="1" x14ac:dyDescent="0.35">
      <c r="A818" s="4"/>
      <c r="B818" s="4"/>
      <c r="C818" s="4"/>
      <c r="D818" s="4"/>
      <c r="E818" s="4"/>
      <c r="F818" s="4"/>
      <c r="G818" s="4"/>
    </row>
    <row r="819" spans="1:7" ht="15.75" customHeight="1" x14ac:dyDescent="0.35">
      <c r="A819" s="4"/>
      <c r="B819" s="4"/>
      <c r="C819" s="4"/>
      <c r="D819" s="4"/>
      <c r="E819" s="4"/>
      <c r="F819" s="4"/>
      <c r="G819" s="4"/>
    </row>
    <row r="820" spans="1:7" ht="15.75" customHeight="1" x14ac:dyDescent="0.35">
      <c r="A820" s="4"/>
      <c r="B820" s="4"/>
      <c r="C820" s="4"/>
      <c r="D820" s="4"/>
      <c r="E820" s="4"/>
      <c r="F820" s="4"/>
      <c r="G820" s="4"/>
    </row>
    <row r="821" spans="1:7" ht="15.75" customHeight="1" x14ac:dyDescent="0.35">
      <c r="A821" s="4"/>
      <c r="B821" s="4"/>
      <c r="C821" s="4"/>
      <c r="D821" s="4"/>
      <c r="E821" s="4"/>
      <c r="F821" s="4"/>
      <c r="G821" s="4"/>
    </row>
    <row r="822" spans="1:7" ht="15.75" customHeight="1" x14ac:dyDescent="0.35">
      <c r="A822" s="4"/>
      <c r="B822" s="4"/>
      <c r="C822" s="4"/>
      <c r="D822" s="4"/>
      <c r="E822" s="4"/>
      <c r="F822" s="4"/>
      <c r="G822" s="4"/>
    </row>
    <row r="823" spans="1:7" ht="15.75" customHeight="1" x14ac:dyDescent="0.35">
      <c r="A823" s="4"/>
      <c r="B823" s="4"/>
      <c r="C823" s="4"/>
      <c r="D823" s="4"/>
      <c r="E823" s="4"/>
      <c r="F823" s="4"/>
      <c r="G823" s="4"/>
    </row>
    <row r="824" spans="1:7" ht="15.75" customHeight="1" x14ac:dyDescent="0.35">
      <c r="A824" s="4"/>
      <c r="B824" s="4"/>
      <c r="C824" s="4"/>
      <c r="D824" s="4"/>
      <c r="E824" s="4"/>
      <c r="F824" s="4"/>
      <c r="G824" s="4"/>
    </row>
    <row r="825" spans="1:7" ht="15.75" customHeight="1" x14ac:dyDescent="0.35">
      <c r="A825" s="4"/>
      <c r="B825" s="4"/>
      <c r="C825" s="4"/>
      <c r="D825" s="4"/>
      <c r="E825" s="4"/>
      <c r="F825" s="4"/>
      <c r="G825" s="4"/>
    </row>
    <row r="826" spans="1:7" ht="15.75" customHeight="1" x14ac:dyDescent="0.35">
      <c r="A826" s="4"/>
      <c r="B826" s="4"/>
      <c r="C826" s="4"/>
      <c r="D826" s="4"/>
      <c r="E826" s="4"/>
      <c r="F826" s="4"/>
      <c r="G826" s="4"/>
    </row>
    <row r="827" spans="1:7" ht="15.75" customHeight="1" x14ac:dyDescent="0.35">
      <c r="A827" s="4"/>
      <c r="B827" s="4"/>
      <c r="C827" s="4"/>
      <c r="D827" s="4"/>
      <c r="E827" s="4"/>
      <c r="F827" s="4"/>
      <c r="G827" s="4"/>
    </row>
    <row r="828" spans="1:7" ht="15.75" customHeight="1" x14ac:dyDescent="0.35">
      <c r="A828" s="4"/>
      <c r="B828" s="4"/>
      <c r="C828" s="4"/>
      <c r="D828" s="4"/>
      <c r="E828" s="4"/>
      <c r="F828" s="4"/>
      <c r="G828" s="4"/>
    </row>
    <row r="829" spans="1:7" ht="15.75" customHeight="1" x14ac:dyDescent="0.35">
      <c r="A829" s="4"/>
      <c r="B829" s="4"/>
      <c r="C829" s="4"/>
      <c r="D829" s="4"/>
      <c r="E829" s="4"/>
      <c r="F829" s="4"/>
      <c r="G829" s="4"/>
    </row>
    <row r="830" spans="1:7" ht="15.75" customHeight="1" x14ac:dyDescent="0.35">
      <c r="A830" s="4"/>
      <c r="B830" s="4"/>
      <c r="C830" s="4"/>
      <c r="D830" s="4"/>
      <c r="E830" s="4"/>
      <c r="F830" s="4"/>
      <c r="G830" s="4"/>
    </row>
    <row r="831" spans="1:7" ht="15.75" customHeight="1" x14ac:dyDescent="0.35">
      <c r="A831" s="4"/>
      <c r="B831" s="4"/>
      <c r="C831" s="4"/>
      <c r="D831" s="4"/>
      <c r="E831" s="4"/>
      <c r="F831" s="4"/>
      <c r="G831" s="4"/>
    </row>
    <row r="832" spans="1:7" ht="15.75" customHeight="1" x14ac:dyDescent="0.35">
      <c r="A832" s="4"/>
      <c r="B832" s="4"/>
      <c r="C832" s="4"/>
      <c r="D832" s="4"/>
      <c r="E832" s="4"/>
      <c r="F832" s="4"/>
      <c r="G832" s="4"/>
    </row>
    <row r="833" spans="1:7" ht="15.75" customHeight="1" x14ac:dyDescent="0.35">
      <c r="A833" s="4"/>
      <c r="B833" s="4"/>
      <c r="C833" s="4"/>
      <c r="D833" s="4"/>
      <c r="E833" s="4"/>
      <c r="F833" s="4"/>
      <c r="G833" s="4"/>
    </row>
    <row r="834" spans="1:7" ht="15.75" customHeight="1" x14ac:dyDescent="0.35">
      <c r="A834" s="4"/>
      <c r="B834" s="4"/>
      <c r="C834" s="4"/>
      <c r="D834" s="4"/>
      <c r="E834" s="4"/>
      <c r="F834" s="4"/>
      <c r="G834" s="4"/>
    </row>
    <row r="835" spans="1:7" ht="15.75" customHeight="1" x14ac:dyDescent="0.35">
      <c r="A835" s="4"/>
      <c r="B835" s="4"/>
      <c r="C835" s="4"/>
      <c r="D835" s="4"/>
      <c r="E835" s="4"/>
      <c r="F835" s="4"/>
      <c r="G835" s="4"/>
    </row>
    <row r="836" spans="1:7" ht="15.75" customHeight="1" x14ac:dyDescent="0.35">
      <c r="A836" s="4"/>
      <c r="B836" s="4"/>
      <c r="C836" s="4"/>
      <c r="D836" s="4"/>
      <c r="E836" s="4"/>
      <c r="F836" s="4"/>
      <c r="G836" s="4"/>
    </row>
    <row r="837" spans="1:7" ht="15.75" customHeight="1" x14ac:dyDescent="0.35">
      <c r="A837" s="4"/>
      <c r="B837" s="4"/>
      <c r="C837" s="4"/>
      <c r="D837" s="4"/>
      <c r="E837" s="4"/>
      <c r="F837" s="4"/>
      <c r="G837" s="4"/>
    </row>
    <row r="838" spans="1:7" ht="15.75" customHeight="1" x14ac:dyDescent="0.35">
      <c r="A838" s="4"/>
      <c r="B838" s="4"/>
      <c r="C838" s="4"/>
      <c r="D838" s="4"/>
      <c r="E838" s="4"/>
      <c r="F838" s="4"/>
      <c r="G838" s="4"/>
    </row>
    <row r="839" spans="1:7" ht="15.75" customHeight="1" x14ac:dyDescent="0.35">
      <c r="A839" s="4"/>
      <c r="B839" s="4"/>
      <c r="C839" s="4"/>
      <c r="D839" s="4"/>
      <c r="E839" s="4"/>
      <c r="F839" s="4"/>
      <c r="G839" s="4"/>
    </row>
    <row r="840" spans="1:7" ht="15.75" customHeight="1" x14ac:dyDescent="0.35">
      <c r="A840" s="4"/>
      <c r="B840" s="4"/>
      <c r="C840" s="4"/>
      <c r="D840" s="4"/>
      <c r="E840" s="4"/>
      <c r="F840" s="4"/>
      <c r="G840" s="4"/>
    </row>
    <row r="841" spans="1:7" ht="15.75" customHeight="1" x14ac:dyDescent="0.35">
      <c r="A841" s="4"/>
      <c r="B841" s="4"/>
      <c r="C841" s="4"/>
      <c r="D841" s="4"/>
      <c r="E841" s="4"/>
      <c r="F841" s="4"/>
      <c r="G841" s="4"/>
    </row>
    <row r="842" spans="1:7" ht="15.75" customHeight="1" x14ac:dyDescent="0.35">
      <c r="A842" s="4"/>
      <c r="B842" s="4"/>
      <c r="C842" s="4"/>
      <c r="D842" s="4"/>
      <c r="E842" s="4"/>
      <c r="F842" s="4"/>
      <c r="G842" s="4"/>
    </row>
    <row r="843" spans="1:7" ht="15.75" customHeight="1" x14ac:dyDescent="0.35">
      <c r="A843" s="4"/>
      <c r="B843" s="4"/>
      <c r="C843" s="4"/>
      <c r="D843" s="4"/>
      <c r="E843" s="4"/>
      <c r="F843" s="4"/>
      <c r="G843" s="4"/>
    </row>
    <row r="844" spans="1:7" ht="15.75" customHeight="1" x14ac:dyDescent="0.35">
      <c r="A844" s="4"/>
      <c r="B844" s="4"/>
      <c r="C844" s="4"/>
      <c r="D844" s="4"/>
      <c r="E844" s="4"/>
      <c r="F844" s="4"/>
      <c r="G844" s="4"/>
    </row>
    <row r="845" spans="1:7" ht="15.75" customHeight="1" x14ac:dyDescent="0.35">
      <c r="A845" s="4"/>
      <c r="B845" s="4"/>
      <c r="C845" s="4"/>
      <c r="D845" s="4"/>
      <c r="E845" s="4"/>
      <c r="F845" s="4"/>
      <c r="G845" s="4"/>
    </row>
    <row r="846" spans="1:7" ht="15.75" customHeight="1" x14ac:dyDescent="0.35">
      <c r="A846" s="4"/>
      <c r="B846" s="4"/>
      <c r="C846" s="4"/>
      <c r="D846" s="4"/>
      <c r="E846" s="4"/>
      <c r="F846" s="4"/>
      <c r="G846" s="4"/>
    </row>
    <row r="847" spans="1:7" ht="15.75" customHeight="1" x14ac:dyDescent="0.35">
      <c r="A847" s="4"/>
      <c r="B847" s="4"/>
      <c r="C847" s="4"/>
      <c r="D847" s="4"/>
      <c r="E847" s="4"/>
      <c r="F847" s="4"/>
      <c r="G847" s="4"/>
    </row>
    <row r="848" spans="1:7" ht="15.75" customHeight="1" x14ac:dyDescent="0.35">
      <c r="A848" s="4"/>
      <c r="B848" s="4"/>
      <c r="C848" s="4"/>
      <c r="D848" s="4"/>
      <c r="E848" s="4"/>
      <c r="F848" s="4"/>
      <c r="G848" s="4"/>
    </row>
    <row r="849" spans="1:7" ht="15.75" customHeight="1" x14ac:dyDescent="0.35">
      <c r="A849" s="4"/>
      <c r="B849" s="4"/>
      <c r="C849" s="4"/>
      <c r="D849" s="4"/>
      <c r="E849" s="4"/>
      <c r="F849" s="4"/>
      <c r="G849" s="4"/>
    </row>
    <row r="850" spans="1:7" ht="15.75" customHeight="1" x14ac:dyDescent="0.35">
      <c r="A850" s="4"/>
      <c r="B850" s="4"/>
      <c r="C850" s="4"/>
      <c r="D850" s="4"/>
      <c r="E850" s="4"/>
      <c r="F850" s="4"/>
      <c r="G850" s="4"/>
    </row>
    <row r="851" spans="1:7" ht="15.75" customHeight="1" x14ac:dyDescent="0.35">
      <c r="A851" s="4"/>
      <c r="B851" s="4"/>
      <c r="C851" s="4"/>
      <c r="D851" s="4"/>
      <c r="E851" s="4"/>
      <c r="F851" s="4"/>
      <c r="G851" s="4"/>
    </row>
    <row r="852" spans="1:7" ht="15.75" customHeight="1" x14ac:dyDescent="0.35">
      <c r="A852" s="4"/>
      <c r="B852" s="4"/>
      <c r="C852" s="4"/>
      <c r="D852" s="4"/>
      <c r="E852" s="4"/>
      <c r="F852" s="4"/>
      <c r="G852" s="4"/>
    </row>
    <row r="853" spans="1:7" ht="15.75" customHeight="1" x14ac:dyDescent="0.35">
      <c r="A853" s="4"/>
      <c r="B853" s="4"/>
      <c r="C853" s="4"/>
      <c r="D853" s="4"/>
      <c r="E853" s="4"/>
      <c r="F853" s="4"/>
      <c r="G853" s="4"/>
    </row>
    <row r="854" spans="1:7" ht="15.75" customHeight="1" x14ac:dyDescent="0.35">
      <c r="A854" s="4"/>
      <c r="B854" s="4"/>
      <c r="C854" s="4"/>
      <c r="D854" s="4"/>
      <c r="E854" s="4"/>
      <c r="F854" s="4"/>
      <c r="G854" s="4"/>
    </row>
    <row r="855" spans="1:7" ht="15.75" customHeight="1" x14ac:dyDescent="0.35">
      <c r="A855" s="4"/>
      <c r="B855" s="4"/>
      <c r="C855" s="4"/>
      <c r="D855" s="4"/>
      <c r="E855" s="4"/>
      <c r="F855" s="4"/>
      <c r="G855" s="4"/>
    </row>
    <row r="856" spans="1:7" ht="15.75" customHeight="1" x14ac:dyDescent="0.35">
      <c r="A856" s="4"/>
      <c r="B856" s="4"/>
      <c r="C856" s="4"/>
      <c r="D856" s="4"/>
      <c r="E856" s="4"/>
      <c r="F856" s="4"/>
      <c r="G856" s="4"/>
    </row>
    <row r="857" spans="1:7" ht="15.75" customHeight="1" x14ac:dyDescent="0.35">
      <c r="A857" s="4"/>
      <c r="B857" s="4"/>
      <c r="C857" s="4"/>
      <c r="D857" s="4"/>
      <c r="E857" s="4"/>
      <c r="F857" s="4"/>
      <c r="G857" s="4"/>
    </row>
    <row r="858" spans="1:7" ht="15.75" customHeight="1" x14ac:dyDescent="0.35">
      <c r="A858" s="4"/>
      <c r="B858" s="4"/>
      <c r="C858" s="4"/>
      <c r="D858" s="4"/>
      <c r="E858" s="4"/>
      <c r="F858" s="4"/>
      <c r="G858" s="4"/>
    </row>
    <row r="859" spans="1:7" ht="15.75" customHeight="1" x14ac:dyDescent="0.35">
      <c r="A859" s="4"/>
      <c r="B859" s="4"/>
      <c r="C859" s="4"/>
      <c r="D859" s="4"/>
      <c r="E859" s="4"/>
      <c r="F859" s="4"/>
      <c r="G859" s="4"/>
    </row>
    <row r="860" spans="1:7" ht="15.75" customHeight="1" x14ac:dyDescent="0.35">
      <c r="A860" s="4"/>
      <c r="B860" s="4"/>
      <c r="C860" s="4"/>
      <c r="D860" s="4"/>
      <c r="E860" s="4"/>
      <c r="F860" s="4"/>
      <c r="G860" s="4"/>
    </row>
    <row r="861" spans="1:7" ht="15.75" customHeight="1" x14ac:dyDescent="0.35">
      <c r="A861" s="4"/>
      <c r="B861" s="4"/>
      <c r="C861" s="4"/>
      <c r="D861" s="4"/>
      <c r="E861" s="4"/>
      <c r="F861" s="4"/>
      <c r="G861" s="4"/>
    </row>
    <row r="862" spans="1:7" ht="15.75" customHeight="1" x14ac:dyDescent="0.35">
      <c r="A862" s="4"/>
      <c r="B862" s="4"/>
      <c r="C862" s="4"/>
      <c r="D862" s="4"/>
      <c r="E862" s="4"/>
      <c r="F862" s="4"/>
      <c r="G862" s="4"/>
    </row>
    <row r="863" spans="1:7" ht="15.75" customHeight="1" x14ac:dyDescent="0.35">
      <c r="A863" s="4"/>
      <c r="B863" s="4"/>
      <c r="C863" s="4"/>
      <c r="D863" s="4"/>
      <c r="E863" s="4"/>
      <c r="F863" s="4"/>
      <c r="G863" s="4"/>
    </row>
    <row r="864" spans="1:7" ht="15.75" customHeight="1" x14ac:dyDescent="0.35">
      <c r="A864" s="4"/>
      <c r="B864" s="4"/>
      <c r="C864" s="4"/>
      <c r="D864" s="4"/>
      <c r="E864" s="4"/>
      <c r="F864" s="4"/>
      <c r="G864" s="4"/>
    </row>
    <row r="865" spans="1:7" ht="15.75" customHeight="1" x14ac:dyDescent="0.35">
      <c r="A865" s="4"/>
      <c r="B865" s="4"/>
      <c r="C865" s="4"/>
      <c r="D865" s="4"/>
      <c r="E865" s="4"/>
      <c r="F865" s="4"/>
      <c r="G865" s="4"/>
    </row>
    <row r="866" spans="1:7" ht="15.75" customHeight="1" x14ac:dyDescent="0.35">
      <c r="A866" s="4"/>
      <c r="B866" s="4"/>
      <c r="C866" s="4"/>
      <c r="D866" s="4"/>
      <c r="E866" s="4"/>
      <c r="F866" s="4"/>
      <c r="G866" s="4"/>
    </row>
    <row r="867" spans="1:7" ht="15.75" customHeight="1" x14ac:dyDescent="0.35">
      <c r="A867" s="4"/>
      <c r="B867" s="4"/>
      <c r="C867" s="4"/>
      <c r="D867" s="4"/>
      <c r="E867" s="4"/>
      <c r="F867" s="4"/>
      <c r="G867" s="4"/>
    </row>
    <row r="868" spans="1:7" ht="15.75" customHeight="1" x14ac:dyDescent="0.35">
      <c r="A868" s="4"/>
      <c r="B868" s="4"/>
      <c r="C868" s="4"/>
      <c r="D868" s="4"/>
      <c r="E868" s="4"/>
      <c r="F868" s="4"/>
      <c r="G868" s="4"/>
    </row>
    <row r="869" spans="1:7" ht="15.75" customHeight="1" x14ac:dyDescent="0.35">
      <c r="A869" s="4"/>
      <c r="B869" s="4"/>
      <c r="C869" s="4"/>
      <c r="D869" s="4"/>
      <c r="E869" s="4"/>
      <c r="F869" s="4"/>
      <c r="G869" s="4"/>
    </row>
    <row r="870" spans="1:7" ht="15.75" customHeight="1" x14ac:dyDescent="0.35">
      <c r="A870" s="4"/>
      <c r="B870" s="4"/>
      <c r="C870" s="4"/>
      <c r="D870" s="4"/>
      <c r="E870" s="4"/>
      <c r="F870" s="4"/>
      <c r="G870" s="4"/>
    </row>
    <row r="871" spans="1:7" ht="15.75" customHeight="1" x14ac:dyDescent="0.35">
      <c r="A871" s="4"/>
      <c r="B871" s="4"/>
      <c r="C871" s="4"/>
      <c r="D871" s="4"/>
      <c r="E871" s="4"/>
      <c r="F871" s="4"/>
      <c r="G871" s="4"/>
    </row>
    <row r="872" spans="1:7" ht="15.75" customHeight="1" x14ac:dyDescent="0.35">
      <c r="A872" s="4"/>
      <c r="B872" s="4"/>
      <c r="C872" s="4"/>
      <c r="D872" s="4"/>
      <c r="E872" s="4"/>
      <c r="F872" s="4"/>
      <c r="G872" s="4"/>
    </row>
    <row r="873" spans="1:7" ht="15.75" customHeight="1" x14ac:dyDescent="0.35">
      <c r="A873" s="4"/>
      <c r="B873" s="4"/>
      <c r="C873" s="4"/>
      <c r="D873" s="4"/>
      <c r="E873" s="4"/>
      <c r="F873" s="4"/>
      <c r="G873" s="4"/>
    </row>
    <row r="874" spans="1:7" ht="15.75" customHeight="1" x14ac:dyDescent="0.35">
      <c r="A874" s="4"/>
      <c r="B874" s="4"/>
      <c r="C874" s="4"/>
      <c r="D874" s="4"/>
      <c r="E874" s="4"/>
      <c r="F874" s="4"/>
      <c r="G874" s="4"/>
    </row>
    <row r="875" spans="1:7" ht="15.75" customHeight="1" x14ac:dyDescent="0.35">
      <c r="A875" s="4"/>
      <c r="B875" s="4"/>
      <c r="C875" s="4"/>
      <c r="D875" s="4"/>
      <c r="E875" s="4"/>
      <c r="F875" s="4"/>
      <c r="G875" s="4"/>
    </row>
    <row r="876" spans="1:7" ht="15.75" customHeight="1" x14ac:dyDescent="0.35">
      <c r="A876" s="4"/>
      <c r="B876" s="4"/>
      <c r="C876" s="4"/>
      <c r="D876" s="4"/>
      <c r="E876" s="4"/>
      <c r="F876" s="4"/>
      <c r="G876" s="4"/>
    </row>
    <row r="877" spans="1:7" ht="15.75" customHeight="1" x14ac:dyDescent="0.35">
      <c r="A877" s="4"/>
      <c r="B877" s="4"/>
      <c r="C877" s="4"/>
      <c r="D877" s="4"/>
      <c r="E877" s="4"/>
      <c r="F877" s="4"/>
      <c r="G877" s="4"/>
    </row>
    <row r="878" spans="1:7" ht="15.75" customHeight="1" x14ac:dyDescent="0.35">
      <c r="A878" s="4"/>
      <c r="B878" s="4"/>
      <c r="C878" s="4"/>
      <c r="D878" s="4"/>
      <c r="E878" s="4"/>
      <c r="F878" s="4"/>
      <c r="G878" s="4"/>
    </row>
    <row r="879" spans="1:7" ht="15.75" customHeight="1" x14ac:dyDescent="0.35">
      <c r="A879" s="4"/>
      <c r="B879" s="4"/>
      <c r="C879" s="4"/>
      <c r="D879" s="4"/>
      <c r="E879" s="4"/>
      <c r="F879" s="4"/>
      <c r="G879" s="4"/>
    </row>
    <row r="880" spans="1:7" ht="15.75" customHeight="1" x14ac:dyDescent="0.35">
      <c r="A880" s="4"/>
      <c r="B880" s="4"/>
      <c r="C880" s="4"/>
      <c r="D880" s="4"/>
      <c r="E880" s="4"/>
      <c r="F880" s="4"/>
      <c r="G880" s="4"/>
    </row>
    <row r="881" spans="1:7" ht="15.75" customHeight="1" x14ac:dyDescent="0.35">
      <c r="A881" s="4"/>
      <c r="B881" s="4"/>
      <c r="C881" s="4"/>
      <c r="D881" s="4"/>
      <c r="E881" s="4"/>
      <c r="F881" s="4"/>
      <c r="G881" s="4"/>
    </row>
    <row r="882" spans="1:7" ht="15.75" customHeight="1" x14ac:dyDescent="0.35">
      <c r="A882" s="4"/>
      <c r="B882" s="4"/>
      <c r="C882" s="4"/>
      <c r="D882" s="4"/>
      <c r="E882" s="4"/>
      <c r="F882" s="4"/>
      <c r="G882" s="4"/>
    </row>
    <row r="883" spans="1:7" ht="15.75" customHeight="1" x14ac:dyDescent="0.35">
      <c r="A883" s="4"/>
      <c r="B883" s="4"/>
      <c r="C883" s="4"/>
      <c r="D883" s="4"/>
      <c r="E883" s="4"/>
      <c r="F883" s="4"/>
      <c r="G883" s="4"/>
    </row>
    <row r="884" spans="1:7" ht="15.75" customHeight="1" x14ac:dyDescent="0.35">
      <c r="A884" s="4"/>
      <c r="B884" s="4"/>
      <c r="C884" s="4"/>
      <c r="D884" s="4"/>
      <c r="E884" s="4"/>
      <c r="F884" s="4"/>
      <c r="G884" s="4"/>
    </row>
    <row r="885" spans="1:7" ht="15.75" customHeight="1" x14ac:dyDescent="0.35">
      <c r="A885" s="4"/>
      <c r="B885" s="4"/>
      <c r="C885" s="4"/>
      <c r="D885" s="4"/>
      <c r="E885" s="4"/>
      <c r="F885" s="4"/>
      <c r="G885" s="4"/>
    </row>
    <row r="886" spans="1:7" ht="15.75" customHeight="1" x14ac:dyDescent="0.35">
      <c r="A886" s="4"/>
      <c r="B886" s="4"/>
      <c r="C886" s="4"/>
      <c r="D886" s="4"/>
      <c r="E886" s="4"/>
      <c r="F886" s="4"/>
      <c r="G886" s="4"/>
    </row>
    <row r="887" spans="1:7" ht="15.75" customHeight="1" x14ac:dyDescent="0.35">
      <c r="A887" s="4"/>
      <c r="B887" s="4"/>
      <c r="C887" s="4"/>
      <c r="D887" s="4"/>
      <c r="E887" s="4"/>
      <c r="F887" s="4"/>
      <c r="G887" s="4"/>
    </row>
    <row r="888" spans="1:7" ht="15.75" customHeight="1" x14ac:dyDescent="0.35">
      <c r="A888" s="4"/>
      <c r="B888" s="4"/>
      <c r="C888" s="4"/>
      <c r="D888" s="4"/>
      <c r="E888" s="4"/>
      <c r="F888" s="4"/>
      <c r="G888" s="4"/>
    </row>
    <row r="889" spans="1:7" ht="15.75" customHeight="1" x14ac:dyDescent="0.35">
      <c r="A889" s="4"/>
      <c r="B889" s="4"/>
      <c r="C889" s="4"/>
      <c r="D889" s="4"/>
      <c r="E889" s="4"/>
      <c r="F889" s="4"/>
      <c r="G889" s="4"/>
    </row>
    <row r="890" spans="1:7" ht="15.75" customHeight="1" x14ac:dyDescent="0.35">
      <c r="A890" s="4"/>
      <c r="B890" s="4"/>
      <c r="C890" s="4"/>
      <c r="D890" s="4"/>
      <c r="E890" s="4"/>
      <c r="F890" s="4"/>
      <c r="G890" s="4"/>
    </row>
    <row r="891" spans="1:7" ht="15.75" customHeight="1" x14ac:dyDescent="0.35">
      <c r="A891" s="4"/>
      <c r="B891" s="4"/>
      <c r="C891" s="4"/>
      <c r="D891" s="4"/>
      <c r="E891" s="4"/>
      <c r="F891" s="4"/>
      <c r="G891" s="4"/>
    </row>
    <row r="892" spans="1:7" ht="15.75" customHeight="1" x14ac:dyDescent="0.35">
      <c r="A892" s="4"/>
      <c r="B892" s="4"/>
      <c r="C892" s="4"/>
      <c r="D892" s="4"/>
      <c r="E892" s="4"/>
      <c r="F892" s="4"/>
      <c r="G892" s="4"/>
    </row>
    <row r="893" spans="1:7" ht="15.75" customHeight="1" x14ac:dyDescent="0.35">
      <c r="A893" s="4"/>
      <c r="B893" s="4"/>
      <c r="C893" s="4"/>
      <c r="D893" s="4"/>
      <c r="E893" s="4"/>
      <c r="F893" s="4"/>
      <c r="G893" s="4"/>
    </row>
    <row r="894" spans="1:7" ht="15.75" customHeight="1" x14ac:dyDescent="0.35">
      <c r="A894" s="4"/>
      <c r="B894" s="4"/>
      <c r="C894" s="4"/>
      <c r="D894" s="4"/>
      <c r="E894" s="4"/>
      <c r="F894" s="4"/>
      <c r="G894" s="4"/>
    </row>
    <row r="895" spans="1:7" ht="15.75" customHeight="1" x14ac:dyDescent="0.35">
      <c r="A895" s="4"/>
      <c r="B895" s="4"/>
      <c r="C895" s="4"/>
      <c r="D895" s="4"/>
      <c r="E895" s="4"/>
      <c r="F895" s="4"/>
      <c r="G895" s="4"/>
    </row>
    <row r="896" spans="1:7" ht="15.75" customHeight="1" x14ac:dyDescent="0.35">
      <c r="A896" s="4"/>
      <c r="B896" s="4"/>
      <c r="C896" s="4"/>
      <c r="D896" s="4"/>
      <c r="E896" s="4"/>
      <c r="F896" s="4"/>
      <c r="G896" s="4"/>
    </row>
    <row r="897" spans="1:7" ht="15.75" customHeight="1" x14ac:dyDescent="0.35">
      <c r="A897" s="4"/>
      <c r="B897" s="4"/>
      <c r="C897" s="4"/>
      <c r="D897" s="4"/>
      <c r="E897" s="4"/>
      <c r="F897" s="4"/>
      <c r="G897" s="4"/>
    </row>
    <row r="898" spans="1:7" ht="15.75" customHeight="1" x14ac:dyDescent="0.35">
      <c r="A898" s="4"/>
      <c r="B898" s="4"/>
      <c r="C898" s="4"/>
      <c r="D898" s="4"/>
      <c r="E898" s="4"/>
      <c r="F898" s="4"/>
      <c r="G898" s="4"/>
    </row>
    <row r="899" spans="1:7" ht="15.75" customHeight="1" x14ac:dyDescent="0.35">
      <c r="A899" s="4"/>
      <c r="B899" s="4"/>
      <c r="C899" s="4"/>
      <c r="D899" s="4"/>
      <c r="E899" s="4"/>
      <c r="F899" s="4"/>
      <c r="G899" s="4"/>
    </row>
    <row r="900" spans="1:7" ht="15.75" customHeight="1" x14ac:dyDescent="0.35">
      <c r="A900" s="4"/>
      <c r="B900" s="4"/>
      <c r="C900" s="4"/>
      <c r="D900" s="4"/>
      <c r="E900" s="4"/>
      <c r="F900" s="4"/>
      <c r="G900" s="4"/>
    </row>
    <row r="901" spans="1:7" ht="15.75" customHeight="1" x14ac:dyDescent="0.35">
      <c r="A901" s="4"/>
      <c r="B901" s="4"/>
      <c r="C901" s="4"/>
      <c r="D901" s="4"/>
      <c r="E901" s="4"/>
      <c r="F901" s="4"/>
      <c r="G901" s="4"/>
    </row>
    <row r="902" spans="1:7" ht="15.75" customHeight="1" x14ac:dyDescent="0.35">
      <c r="A902" s="4"/>
      <c r="B902" s="4"/>
      <c r="C902" s="4"/>
      <c r="D902" s="4"/>
      <c r="E902" s="4"/>
      <c r="F902" s="4"/>
      <c r="G902" s="4"/>
    </row>
    <row r="903" spans="1:7" ht="15.75" customHeight="1" x14ac:dyDescent="0.35">
      <c r="A903" s="4"/>
      <c r="B903" s="4"/>
      <c r="C903" s="4"/>
      <c r="D903" s="4"/>
      <c r="E903" s="4"/>
      <c r="F903" s="4"/>
      <c r="G903" s="4"/>
    </row>
    <row r="904" spans="1:7" ht="15.75" customHeight="1" x14ac:dyDescent="0.35">
      <c r="A904" s="4"/>
      <c r="B904" s="4"/>
      <c r="C904" s="4"/>
      <c r="D904" s="4"/>
      <c r="E904" s="4"/>
      <c r="F904" s="4"/>
      <c r="G904" s="4"/>
    </row>
    <row r="905" spans="1:7" ht="15.75" customHeight="1" x14ac:dyDescent="0.35">
      <c r="A905" s="4"/>
      <c r="B905" s="4"/>
      <c r="C905" s="4"/>
      <c r="D905" s="4"/>
      <c r="E905" s="4"/>
      <c r="F905" s="4"/>
      <c r="G905" s="4"/>
    </row>
    <row r="906" spans="1:7" ht="15.75" customHeight="1" x14ac:dyDescent="0.35">
      <c r="A906" s="4"/>
      <c r="B906" s="4"/>
      <c r="C906" s="4"/>
      <c r="D906" s="4"/>
      <c r="E906" s="4"/>
      <c r="F906" s="4"/>
      <c r="G906" s="4"/>
    </row>
    <row r="907" spans="1:7" ht="15.75" customHeight="1" x14ac:dyDescent="0.35">
      <c r="A907" s="4"/>
      <c r="B907" s="4"/>
      <c r="C907" s="4"/>
      <c r="D907" s="4"/>
      <c r="E907" s="4"/>
      <c r="F907" s="4"/>
      <c r="G907" s="4"/>
    </row>
    <row r="908" spans="1:7" ht="15.75" customHeight="1" x14ac:dyDescent="0.35">
      <c r="A908" s="4"/>
      <c r="B908" s="4"/>
      <c r="C908" s="4"/>
      <c r="D908" s="4"/>
      <c r="E908" s="4"/>
      <c r="F908" s="4"/>
      <c r="G908" s="4"/>
    </row>
    <row r="909" spans="1:7" ht="15.75" customHeight="1" x14ac:dyDescent="0.35">
      <c r="A909" s="4"/>
      <c r="B909" s="4"/>
      <c r="C909" s="4"/>
      <c r="D909" s="4"/>
      <c r="E909" s="4"/>
      <c r="F909" s="4"/>
      <c r="G909" s="4"/>
    </row>
    <row r="910" spans="1:7" ht="15.75" customHeight="1" x14ac:dyDescent="0.35">
      <c r="A910" s="4"/>
      <c r="B910" s="4"/>
      <c r="C910" s="4"/>
      <c r="D910" s="4"/>
      <c r="E910" s="4"/>
      <c r="F910" s="4"/>
      <c r="G910" s="4"/>
    </row>
    <row r="911" spans="1:7" ht="15.75" customHeight="1" x14ac:dyDescent="0.35">
      <c r="A911" s="4"/>
      <c r="B911" s="4"/>
      <c r="C911" s="4"/>
      <c r="D911" s="4"/>
      <c r="E911" s="4"/>
      <c r="F911" s="4"/>
      <c r="G911" s="4"/>
    </row>
    <row r="912" spans="1:7" ht="15.75" customHeight="1" x14ac:dyDescent="0.35">
      <c r="A912" s="4"/>
      <c r="B912" s="4"/>
      <c r="C912" s="4"/>
      <c r="D912" s="4"/>
      <c r="E912" s="4"/>
      <c r="F912" s="4"/>
      <c r="G912" s="4"/>
    </row>
    <row r="913" spans="1:7" ht="15.75" customHeight="1" x14ac:dyDescent="0.35">
      <c r="A913" s="4"/>
      <c r="B913" s="4"/>
      <c r="C913" s="4"/>
      <c r="D913" s="4"/>
      <c r="E913" s="4"/>
      <c r="F913" s="4"/>
      <c r="G913" s="4"/>
    </row>
    <row r="914" spans="1:7" ht="15.75" customHeight="1" x14ac:dyDescent="0.35">
      <c r="A914" s="4"/>
      <c r="B914" s="4"/>
      <c r="C914" s="4"/>
      <c r="D914" s="4"/>
      <c r="E914" s="4"/>
      <c r="F914" s="4"/>
      <c r="G914" s="4"/>
    </row>
    <row r="915" spans="1:7" ht="15.75" customHeight="1" x14ac:dyDescent="0.35">
      <c r="A915" s="4"/>
      <c r="B915" s="4"/>
      <c r="C915" s="4"/>
      <c r="D915" s="4"/>
      <c r="E915" s="4"/>
      <c r="F915" s="4"/>
      <c r="G915" s="4"/>
    </row>
    <row r="916" spans="1:7" ht="15.75" customHeight="1" x14ac:dyDescent="0.35">
      <c r="A916" s="4"/>
      <c r="B916" s="4"/>
      <c r="C916" s="4"/>
      <c r="D916" s="4"/>
      <c r="E916" s="4"/>
      <c r="F916" s="4"/>
      <c r="G916" s="4"/>
    </row>
    <row r="917" spans="1:7" ht="15.75" customHeight="1" x14ac:dyDescent="0.35">
      <c r="A917" s="4"/>
      <c r="B917" s="4"/>
      <c r="C917" s="4"/>
      <c r="D917" s="4"/>
      <c r="E917" s="4"/>
      <c r="F917" s="4"/>
      <c r="G917" s="4"/>
    </row>
    <row r="918" spans="1:7" ht="15.75" customHeight="1" x14ac:dyDescent="0.35">
      <c r="A918" s="4"/>
      <c r="B918" s="4"/>
      <c r="C918" s="4"/>
      <c r="D918" s="4"/>
      <c r="E918" s="4"/>
      <c r="F918" s="4"/>
      <c r="G918" s="4"/>
    </row>
    <row r="919" spans="1:7" ht="15.75" customHeight="1" x14ac:dyDescent="0.35">
      <c r="A919" s="4"/>
      <c r="B919" s="4"/>
      <c r="C919" s="4"/>
      <c r="D919" s="4"/>
      <c r="E919" s="4"/>
      <c r="F919" s="4"/>
      <c r="G919" s="4"/>
    </row>
    <row r="920" spans="1:7" ht="15.75" customHeight="1" x14ac:dyDescent="0.35">
      <c r="A920" s="4"/>
      <c r="B920" s="4"/>
      <c r="C920" s="4"/>
      <c r="D920" s="4"/>
      <c r="E920" s="4"/>
      <c r="F920" s="4"/>
      <c r="G920" s="4"/>
    </row>
    <row r="921" spans="1:7" ht="15.75" customHeight="1" x14ac:dyDescent="0.35">
      <c r="A921" s="4"/>
      <c r="B921" s="4"/>
      <c r="C921" s="4"/>
      <c r="D921" s="4"/>
      <c r="E921" s="4"/>
      <c r="F921" s="4"/>
      <c r="G921" s="4"/>
    </row>
    <row r="922" spans="1:7" ht="15.75" customHeight="1" x14ac:dyDescent="0.35">
      <c r="A922" s="4"/>
      <c r="B922" s="4"/>
      <c r="C922" s="4"/>
      <c r="D922" s="4"/>
      <c r="E922" s="4"/>
      <c r="F922" s="4"/>
      <c r="G922" s="4"/>
    </row>
    <row r="923" spans="1:7" ht="15.75" customHeight="1" x14ac:dyDescent="0.35">
      <c r="A923" s="4"/>
      <c r="B923" s="4"/>
      <c r="C923" s="4"/>
      <c r="D923" s="4"/>
      <c r="E923" s="4"/>
      <c r="F923" s="4"/>
      <c r="G923" s="4"/>
    </row>
    <row r="924" spans="1:7" ht="15.75" customHeight="1" x14ac:dyDescent="0.35">
      <c r="A924" s="4"/>
      <c r="B924" s="4"/>
      <c r="C924" s="4"/>
      <c r="D924" s="4"/>
      <c r="E924" s="4"/>
      <c r="F924" s="4"/>
      <c r="G924" s="4"/>
    </row>
    <row r="925" spans="1:7" ht="15.75" customHeight="1" x14ac:dyDescent="0.35">
      <c r="A925" s="4"/>
      <c r="B925" s="4"/>
      <c r="C925" s="4"/>
      <c r="D925" s="4"/>
      <c r="E925" s="4"/>
      <c r="F925" s="4"/>
      <c r="G925" s="4"/>
    </row>
    <row r="926" spans="1:7" ht="15.75" customHeight="1" x14ac:dyDescent="0.35">
      <c r="A926" s="4"/>
      <c r="B926" s="4"/>
      <c r="C926" s="4"/>
      <c r="D926" s="4"/>
      <c r="E926" s="4"/>
      <c r="F926" s="4"/>
      <c r="G926" s="4"/>
    </row>
    <row r="927" spans="1:7" ht="15.75" customHeight="1" x14ac:dyDescent="0.35">
      <c r="A927" s="4"/>
      <c r="B927" s="4"/>
      <c r="C927" s="4"/>
      <c r="D927" s="4"/>
      <c r="E927" s="4"/>
      <c r="F927" s="4"/>
      <c r="G927" s="4"/>
    </row>
    <row r="928" spans="1:7" ht="15.75" customHeight="1" x14ac:dyDescent="0.35">
      <c r="A928" s="4"/>
      <c r="B928" s="4"/>
      <c r="C928" s="4"/>
      <c r="D928" s="4"/>
      <c r="E928" s="4"/>
      <c r="F928" s="4"/>
      <c r="G928" s="4"/>
    </row>
    <row r="929" spans="1:7" ht="15.75" customHeight="1" x14ac:dyDescent="0.35">
      <c r="A929" s="4"/>
      <c r="B929" s="4"/>
      <c r="C929" s="4"/>
      <c r="D929" s="4"/>
      <c r="E929" s="4"/>
      <c r="F929" s="4"/>
      <c r="G929" s="4"/>
    </row>
    <row r="930" spans="1:7" ht="15.75" customHeight="1" x14ac:dyDescent="0.35">
      <c r="A930" s="4"/>
      <c r="B930" s="4"/>
      <c r="C930" s="4"/>
      <c r="D930" s="4"/>
      <c r="E930" s="4"/>
      <c r="F930" s="4"/>
      <c r="G930" s="4"/>
    </row>
    <row r="931" spans="1:7" ht="15.75" customHeight="1" x14ac:dyDescent="0.35">
      <c r="A931" s="4"/>
      <c r="B931" s="4"/>
      <c r="C931" s="4"/>
      <c r="D931" s="4"/>
      <c r="E931" s="4"/>
      <c r="F931" s="4"/>
      <c r="G931" s="4"/>
    </row>
    <row r="932" spans="1:7" ht="15.75" customHeight="1" x14ac:dyDescent="0.35">
      <c r="A932" s="4"/>
      <c r="B932" s="4"/>
      <c r="C932" s="4"/>
      <c r="D932" s="4"/>
      <c r="E932" s="4"/>
      <c r="F932" s="4"/>
      <c r="G932" s="4"/>
    </row>
    <row r="933" spans="1:7" ht="15.75" customHeight="1" x14ac:dyDescent="0.35">
      <c r="A933" s="4"/>
      <c r="B933" s="4"/>
      <c r="C933" s="4"/>
      <c r="D933" s="4"/>
      <c r="E933" s="4"/>
      <c r="F933" s="4"/>
      <c r="G933" s="4"/>
    </row>
    <row r="934" spans="1:7" ht="15.75" customHeight="1" x14ac:dyDescent="0.35">
      <c r="A934" s="4"/>
      <c r="B934" s="4"/>
      <c r="C934" s="4"/>
      <c r="D934" s="4"/>
      <c r="E934" s="4"/>
      <c r="F934" s="4"/>
      <c r="G934" s="4"/>
    </row>
    <row r="935" spans="1:7" ht="15.75" customHeight="1" x14ac:dyDescent="0.35">
      <c r="A935" s="4"/>
      <c r="B935" s="4"/>
      <c r="C935" s="4"/>
      <c r="D935" s="4"/>
      <c r="E935" s="4"/>
      <c r="F935" s="4"/>
      <c r="G935" s="4"/>
    </row>
    <row r="936" spans="1:7" ht="15.75" customHeight="1" x14ac:dyDescent="0.35">
      <c r="A936" s="4"/>
      <c r="B936" s="4"/>
      <c r="C936" s="4"/>
      <c r="D936" s="4"/>
      <c r="E936" s="4"/>
      <c r="F936" s="4"/>
      <c r="G936" s="4"/>
    </row>
    <row r="937" spans="1:7" ht="15.75" customHeight="1" x14ac:dyDescent="0.35">
      <c r="A937" s="4"/>
      <c r="B937" s="4"/>
      <c r="C937" s="4"/>
      <c r="D937" s="4"/>
      <c r="E937" s="4"/>
      <c r="F937" s="4"/>
      <c r="G937" s="4"/>
    </row>
    <row r="938" spans="1:7" ht="15.75" customHeight="1" x14ac:dyDescent="0.35">
      <c r="A938" s="4"/>
      <c r="B938" s="4"/>
      <c r="C938" s="4"/>
      <c r="D938" s="4"/>
      <c r="E938" s="4"/>
      <c r="F938" s="4"/>
      <c r="G938" s="4"/>
    </row>
    <row r="939" spans="1:7" ht="15.75" customHeight="1" x14ac:dyDescent="0.35">
      <c r="A939" s="4"/>
      <c r="B939" s="4"/>
      <c r="C939" s="4"/>
      <c r="D939" s="4"/>
      <c r="E939" s="4"/>
      <c r="F939" s="4"/>
      <c r="G939" s="4"/>
    </row>
    <row r="940" spans="1:7" ht="15.75" customHeight="1" x14ac:dyDescent="0.35">
      <c r="A940" s="4"/>
      <c r="B940" s="4"/>
      <c r="C940" s="4"/>
      <c r="D940" s="4"/>
      <c r="E940" s="4"/>
      <c r="F940" s="4"/>
      <c r="G940" s="4"/>
    </row>
    <row r="941" spans="1:7" ht="15.75" customHeight="1" x14ac:dyDescent="0.35">
      <c r="A941" s="4"/>
      <c r="B941" s="4"/>
      <c r="C941" s="4"/>
      <c r="D941" s="4"/>
      <c r="E941" s="4"/>
      <c r="F941" s="4"/>
      <c r="G941" s="4"/>
    </row>
    <row r="942" spans="1:7" ht="15.75" customHeight="1" x14ac:dyDescent="0.35">
      <c r="A942" s="4"/>
      <c r="B942" s="4"/>
      <c r="C942" s="4"/>
      <c r="D942" s="4"/>
      <c r="E942" s="4"/>
      <c r="F942" s="4"/>
      <c r="G942" s="4"/>
    </row>
    <row r="943" spans="1:7" ht="15.75" customHeight="1" x14ac:dyDescent="0.35">
      <c r="A943" s="4"/>
      <c r="B943" s="4"/>
      <c r="C943" s="4"/>
      <c r="D943" s="4"/>
      <c r="E943" s="4"/>
      <c r="F943" s="4"/>
      <c r="G943" s="4"/>
    </row>
    <row r="944" spans="1:7" ht="15.75" customHeight="1" x14ac:dyDescent="0.35">
      <c r="A944" s="4"/>
      <c r="B944" s="4"/>
      <c r="C944" s="4"/>
      <c r="D944" s="4"/>
      <c r="E944" s="4"/>
      <c r="F944" s="4"/>
      <c r="G944" s="4"/>
    </row>
    <row r="945" spans="1:7" ht="15.75" customHeight="1" x14ac:dyDescent="0.35">
      <c r="A945" s="4"/>
      <c r="B945" s="4"/>
      <c r="C945" s="4"/>
      <c r="D945" s="4"/>
      <c r="E945" s="4"/>
      <c r="F945" s="4"/>
      <c r="G945" s="4"/>
    </row>
    <row r="946" spans="1:7" ht="15.75" customHeight="1" x14ac:dyDescent="0.35">
      <c r="A946" s="4"/>
      <c r="B946" s="4"/>
      <c r="C946" s="4"/>
      <c r="D946" s="4"/>
      <c r="E946" s="4"/>
      <c r="F946" s="4"/>
      <c r="G946" s="4"/>
    </row>
    <row r="947" spans="1:7" ht="15.75" customHeight="1" x14ac:dyDescent="0.35">
      <c r="A947" s="4"/>
      <c r="B947" s="4"/>
      <c r="C947" s="4"/>
      <c r="D947" s="4"/>
      <c r="E947" s="4"/>
      <c r="F947" s="4"/>
      <c r="G947" s="4"/>
    </row>
    <row r="948" spans="1:7" ht="15.75" customHeight="1" x14ac:dyDescent="0.35">
      <c r="A948" s="4"/>
      <c r="B948" s="4"/>
      <c r="C948" s="4"/>
      <c r="D948" s="4"/>
      <c r="E948" s="4"/>
      <c r="F948" s="4"/>
      <c r="G948" s="4"/>
    </row>
    <row r="949" spans="1:7" ht="15.75" customHeight="1" x14ac:dyDescent="0.35">
      <c r="A949" s="4"/>
      <c r="B949" s="4"/>
      <c r="C949" s="4"/>
      <c r="D949" s="4"/>
      <c r="E949" s="4"/>
      <c r="F949" s="4"/>
      <c r="G949" s="4"/>
    </row>
    <row r="950" spans="1:7" ht="15.75" customHeight="1" x14ac:dyDescent="0.35">
      <c r="A950" s="4"/>
      <c r="B950" s="4"/>
      <c r="C950" s="4"/>
      <c r="D950" s="4"/>
      <c r="E950" s="4"/>
      <c r="F950" s="4"/>
      <c r="G950" s="4"/>
    </row>
    <row r="951" spans="1:7" ht="15.75" customHeight="1" x14ac:dyDescent="0.35">
      <c r="A951" s="4"/>
      <c r="B951" s="4"/>
      <c r="C951" s="4"/>
      <c r="D951" s="4"/>
      <c r="E951" s="4"/>
      <c r="F951" s="4"/>
      <c r="G951" s="4"/>
    </row>
    <row r="952" spans="1:7" ht="15.75" customHeight="1" x14ac:dyDescent="0.35">
      <c r="A952" s="4"/>
      <c r="B952" s="4"/>
      <c r="C952" s="4"/>
      <c r="D952" s="4"/>
      <c r="E952" s="4"/>
      <c r="F952" s="4"/>
      <c r="G952" s="4"/>
    </row>
    <row r="953" spans="1:7" ht="15.75" customHeight="1" x14ac:dyDescent="0.35">
      <c r="A953" s="4"/>
      <c r="B953" s="4"/>
      <c r="C953" s="4"/>
      <c r="D953" s="4"/>
      <c r="E953" s="4"/>
      <c r="F953" s="4"/>
      <c r="G953" s="4"/>
    </row>
    <row r="954" spans="1:7" ht="15.75" customHeight="1" x14ac:dyDescent="0.35">
      <c r="A954" s="4"/>
      <c r="B954" s="4"/>
      <c r="C954" s="4"/>
      <c r="D954" s="4"/>
      <c r="E954" s="4"/>
      <c r="F954" s="4"/>
      <c r="G954" s="4"/>
    </row>
    <row r="955" spans="1:7" ht="15.75" customHeight="1" x14ac:dyDescent="0.35">
      <c r="A955" s="4"/>
      <c r="B955" s="4"/>
      <c r="C955" s="4"/>
      <c r="D955" s="4"/>
      <c r="E955" s="4"/>
      <c r="F955" s="4"/>
      <c r="G955" s="4"/>
    </row>
    <row r="956" spans="1:7" ht="15.75" customHeight="1" x14ac:dyDescent="0.35">
      <c r="A956" s="4"/>
      <c r="B956" s="4"/>
      <c r="C956" s="4"/>
      <c r="D956" s="4"/>
      <c r="E956" s="4"/>
      <c r="F956" s="4"/>
      <c r="G956" s="4"/>
    </row>
    <row r="957" spans="1:7" ht="15.75" customHeight="1" x14ac:dyDescent="0.35">
      <c r="A957" s="4"/>
      <c r="B957" s="4"/>
      <c r="C957" s="4"/>
      <c r="D957" s="4"/>
      <c r="E957" s="4"/>
      <c r="F957" s="4"/>
      <c r="G957" s="4"/>
    </row>
    <row r="958" spans="1:7" ht="15.75" customHeight="1" x14ac:dyDescent="0.35">
      <c r="A958" s="4"/>
      <c r="B958" s="4"/>
      <c r="C958" s="4"/>
      <c r="D958" s="4"/>
      <c r="E958" s="4"/>
      <c r="F958" s="4"/>
      <c r="G958" s="4"/>
    </row>
    <row r="959" spans="1:7" ht="15.75" customHeight="1" x14ac:dyDescent="0.35">
      <c r="A959" s="4"/>
      <c r="B959" s="4"/>
      <c r="C959" s="4"/>
      <c r="D959" s="4"/>
      <c r="E959" s="4"/>
      <c r="F959" s="4"/>
      <c r="G959" s="4"/>
    </row>
    <row r="960" spans="1:7" ht="15.75" customHeight="1" x14ac:dyDescent="0.35">
      <c r="A960" s="4"/>
      <c r="B960" s="4"/>
      <c r="C960" s="4"/>
      <c r="D960" s="4"/>
      <c r="E960" s="4"/>
      <c r="F960" s="4"/>
      <c r="G960" s="4"/>
    </row>
    <row r="961" spans="1:7" ht="15.75" customHeight="1" x14ac:dyDescent="0.35">
      <c r="A961" s="4"/>
      <c r="B961" s="4"/>
      <c r="C961" s="4"/>
      <c r="D961" s="4"/>
      <c r="E961" s="4"/>
      <c r="F961" s="4"/>
      <c r="G961" s="4"/>
    </row>
    <row r="962" spans="1:7" ht="15.75" customHeight="1" x14ac:dyDescent="0.35">
      <c r="A962" s="4"/>
      <c r="B962" s="4"/>
      <c r="C962" s="4"/>
      <c r="D962" s="4"/>
      <c r="E962" s="4"/>
      <c r="F962" s="4"/>
      <c r="G962" s="4"/>
    </row>
    <row r="963" spans="1:7" ht="15.75" customHeight="1" x14ac:dyDescent="0.35">
      <c r="A963" s="4"/>
      <c r="B963" s="4"/>
      <c r="C963" s="4"/>
      <c r="D963" s="4"/>
      <c r="E963" s="4"/>
      <c r="F963" s="4"/>
      <c r="G963" s="4"/>
    </row>
    <row r="964" spans="1:7" ht="15.75" customHeight="1" x14ac:dyDescent="0.35">
      <c r="A964" s="4"/>
      <c r="B964" s="4"/>
      <c r="C964" s="4"/>
      <c r="D964" s="4"/>
      <c r="E964" s="4"/>
      <c r="F964" s="4"/>
      <c r="G964" s="4"/>
    </row>
    <row r="965" spans="1:7" ht="15.75" customHeight="1" x14ac:dyDescent="0.35">
      <c r="A965" s="4"/>
      <c r="B965" s="4"/>
      <c r="C965" s="4"/>
      <c r="D965" s="4"/>
      <c r="E965" s="4"/>
      <c r="F965" s="4"/>
      <c r="G965" s="4"/>
    </row>
    <row r="966" spans="1:7" ht="15.75" customHeight="1" x14ac:dyDescent="0.35">
      <c r="A966" s="4"/>
      <c r="B966" s="4"/>
      <c r="C966" s="4"/>
      <c r="D966" s="4"/>
      <c r="E966" s="4"/>
      <c r="F966" s="4"/>
      <c r="G966" s="4"/>
    </row>
    <row r="967" spans="1:7" ht="15.75" customHeight="1" x14ac:dyDescent="0.35">
      <c r="A967" s="4"/>
      <c r="B967" s="4"/>
      <c r="C967" s="4"/>
      <c r="D967" s="4"/>
      <c r="E967" s="4"/>
      <c r="F967" s="4"/>
      <c r="G967" s="4"/>
    </row>
    <row r="968" spans="1:7" ht="15.75" customHeight="1" x14ac:dyDescent="0.35">
      <c r="A968" s="4"/>
      <c r="B968" s="4"/>
      <c r="C968" s="4"/>
      <c r="D968" s="4"/>
      <c r="E968" s="4"/>
      <c r="F968" s="4"/>
      <c r="G968" s="4"/>
    </row>
    <row r="969" spans="1:7" ht="15.75" customHeight="1" x14ac:dyDescent="0.35">
      <c r="A969" s="4"/>
      <c r="B969" s="4"/>
      <c r="C969" s="4"/>
      <c r="D969" s="4"/>
      <c r="E969" s="4"/>
      <c r="F969" s="4"/>
      <c r="G969" s="4"/>
    </row>
    <row r="970" spans="1:7" ht="15.75" customHeight="1" x14ac:dyDescent="0.35">
      <c r="A970" s="4"/>
      <c r="B970" s="4"/>
      <c r="C970" s="4"/>
      <c r="D970" s="4"/>
      <c r="E970" s="4"/>
      <c r="F970" s="4"/>
      <c r="G970" s="4"/>
    </row>
    <row r="971" spans="1:7" ht="15.75" customHeight="1" x14ac:dyDescent="0.35">
      <c r="A971" s="4"/>
      <c r="B971" s="4"/>
      <c r="C971" s="4"/>
      <c r="D971" s="4"/>
      <c r="E971" s="4"/>
      <c r="F971" s="4"/>
      <c r="G971" s="4"/>
    </row>
    <row r="972" spans="1:7" ht="15.75" customHeight="1" x14ac:dyDescent="0.35">
      <c r="A972" s="4"/>
      <c r="B972" s="4"/>
      <c r="C972" s="4"/>
      <c r="D972" s="4"/>
      <c r="E972" s="4"/>
      <c r="F972" s="4"/>
      <c r="G972" s="4"/>
    </row>
    <row r="973" spans="1:7" ht="15.75" customHeight="1" x14ac:dyDescent="0.35">
      <c r="A973" s="4"/>
      <c r="B973" s="4"/>
      <c r="C973" s="4"/>
      <c r="D973" s="4"/>
      <c r="E973" s="4"/>
      <c r="F973" s="4"/>
      <c r="G973" s="4"/>
    </row>
    <row r="974" spans="1:7" ht="15.75" customHeight="1" x14ac:dyDescent="0.35">
      <c r="A974" s="4"/>
      <c r="B974" s="4"/>
      <c r="C974" s="4"/>
      <c r="D974" s="4"/>
      <c r="E974" s="4"/>
      <c r="F974" s="4"/>
      <c r="G974" s="4"/>
    </row>
    <row r="975" spans="1:7" ht="15.75" customHeight="1" x14ac:dyDescent="0.35">
      <c r="A975" s="4"/>
      <c r="B975" s="4"/>
      <c r="C975" s="4"/>
      <c r="D975" s="4"/>
      <c r="E975" s="4"/>
      <c r="F975" s="4"/>
      <c r="G975" s="4"/>
    </row>
    <row r="976" spans="1:7" ht="15.75" customHeight="1" x14ac:dyDescent="0.35">
      <c r="A976" s="4"/>
      <c r="B976" s="4"/>
      <c r="C976" s="4"/>
      <c r="D976" s="4"/>
      <c r="E976" s="4"/>
      <c r="F976" s="4"/>
      <c r="G976" s="4"/>
    </row>
    <row r="977" spans="1:7" ht="15.75" customHeight="1" x14ac:dyDescent="0.35">
      <c r="A977" s="4"/>
      <c r="B977" s="4"/>
      <c r="C977" s="4"/>
      <c r="D977" s="4"/>
      <c r="E977" s="4"/>
      <c r="F977" s="4"/>
      <c r="G977" s="4"/>
    </row>
    <row r="978" spans="1:7" ht="15.75" customHeight="1" x14ac:dyDescent="0.35">
      <c r="A978" s="4"/>
      <c r="B978" s="4"/>
      <c r="C978" s="4"/>
      <c r="D978" s="4"/>
      <c r="E978" s="4"/>
      <c r="F978" s="4"/>
      <c r="G978" s="4"/>
    </row>
    <row r="979" spans="1:7" ht="15.75" customHeight="1" x14ac:dyDescent="0.35">
      <c r="A979" s="4"/>
      <c r="B979" s="4"/>
      <c r="C979" s="4"/>
      <c r="D979" s="4"/>
      <c r="E979" s="4"/>
      <c r="F979" s="4"/>
      <c r="G979" s="4"/>
    </row>
    <row r="980" spans="1:7" ht="15.75" customHeight="1" x14ac:dyDescent="0.35">
      <c r="A980" s="4"/>
      <c r="B980" s="4"/>
      <c r="C980" s="4"/>
      <c r="D980" s="4"/>
      <c r="E980" s="4"/>
      <c r="F980" s="4"/>
      <c r="G980" s="4"/>
    </row>
    <row r="981" spans="1:7" ht="15.75" customHeight="1" x14ac:dyDescent="0.35">
      <c r="A981" s="4"/>
      <c r="B981" s="4"/>
      <c r="C981" s="4"/>
      <c r="D981" s="4"/>
      <c r="E981" s="4"/>
      <c r="F981" s="4"/>
      <c r="G981" s="4"/>
    </row>
    <row r="982" spans="1:7" ht="15.75" customHeight="1" x14ac:dyDescent="0.35">
      <c r="A982" s="4"/>
      <c r="B982" s="4"/>
      <c r="C982" s="4"/>
      <c r="D982" s="4"/>
      <c r="E982" s="4"/>
      <c r="F982" s="4"/>
      <c r="G982" s="4"/>
    </row>
    <row r="983" spans="1:7" ht="15.75" customHeight="1" x14ac:dyDescent="0.35">
      <c r="A983" s="4"/>
      <c r="B983" s="4"/>
      <c r="C983" s="4"/>
      <c r="D983" s="4"/>
      <c r="E983" s="4"/>
      <c r="F983" s="4"/>
      <c r="G983" s="4"/>
    </row>
    <row r="984" spans="1:7" ht="15.75" customHeight="1" x14ac:dyDescent="0.35">
      <c r="A984" s="4"/>
      <c r="B984" s="4"/>
      <c r="C984" s="4"/>
      <c r="D984" s="4"/>
      <c r="E984" s="4"/>
      <c r="F984" s="4"/>
      <c r="G984" s="4"/>
    </row>
    <row r="985" spans="1:7" ht="15.75" customHeight="1" x14ac:dyDescent="0.35">
      <c r="A985" s="4"/>
      <c r="B985" s="4"/>
      <c r="C985" s="4"/>
      <c r="D985" s="4"/>
      <c r="E985" s="4"/>
      <c r="F985" s="4"/>
      <c r="G985" s="4"/>
    </row>
    <row r="986" spans="1:7" ht="15.75" customHeight="1" x14ac:dyDescent="0.35">
      <c r="A986" s="4"/>
      <c r="B986" s="4"/>
      <c r="C986" s="4"/>
      <c r="D986" s="4"/>
      <c r="E986" s="4"/>
      <c r="F986" s="4"/>
      <c r="G986" s="4"/>
    </row>
    <row r="987" spans="1:7" ht="15.75" customHeight="1" x14ac:dyDescent="0.35">
      <c r="A987" s="4"/>
      <c r="B987" s="4"/>
      <c r="C987" s="4"/>
      <c r="D987" s="4"/>
      <c r="E987" s="4"/>
      <c r="F987" s="4"/>
      <c r="G987" s="4"/>
    </row>
    <row r="988" spans="1:7" ht="15.75" customHeight="1" x14ac:dyDescent="0.35">
      <c r="A988" s="4"/>
      <c r="B988" s="4"/>
      <c r="C988" s="4"/>
      <c r="D988" s="4"/>
      <c r="E988" s="4"/>
      <c r="F988" s="4"/>
      <c r="G988" s="4"/>
    </row>
    <row r="989" spans="1:7" ht="15.75" customHeight="1" x14ac:dyDescent="0.35">
      <c r="A989" s="4"/>
      <c r="B989" s="4"/>
      <c r="C989" s="4"/>
      <c r="D989" s="4"/>
      <c r="E989" s="4"/>
      <c r="F989" s="4"/>
      <c r="G989" s="4"/>
    </row>
    <row r="990" spans="1:7" ht="15.75" customHeight="1" x14ac:dyDescent="0.35">
      <c r="A990" s="4"/>
      <c r="B990" s="4"/>
      <c r="C990" s="4"/>
      <c r="D990" s="4"/>
      <c r="E990" s="4"/>
      <c r="F990" s="4"/>
      <c r="G990" s="4"/>
    </row>
    <row r="991" spans="1:7" ht="15.75" customHeight="1" x14ac:dyDescent="0.35">
      <c r="A991" s="4"/>
      <c r="B991" s="4"/>
      <c r="C991" s="4"/>
      <c r="D991" s="4"/>
      <c r="E991" s="4"/>
      <c r="F991" s="4"/>
      <c r="G991" s="4"/>
    </row>
    <row r="992" spans="1:7" ht="15.75" customHeight="1" x14ac:dyDescent="0.35">
      <c r="A992" s="4"/>
      <c r="B992" s="4"/>
      <c r="C992" s="4"/>
      <c r="D992" s="4"/>
      <c r="E992" s="4"/>
      <c r="F992" s="4"/>
      <c r="G992" s="4"/>
    </row>
    <row r="993" spans="1:7" ht="15.75" customHeight="1" x14ac:dyDescent="0.35">
      <c r="A993" s="4"/>
      <c r="B993" s="4"/>
      <c r="C993" s="4"/>
      <c r="D993" s="4"/>
      <c r="E993" s="4"/>
      <c r="F993" s="4"/>
      <c r="G993" s="4"/>
    </row>
    <row r="994" spans="1:7" ht="15.75" customHeight="1" x14ac:dyDescent="0.35">
      <c r="A994" s="4"/>
      <c r="B994" s="4"/>
      <c r="C994" s="4"/>
      <c r="D994" s="4"/>
      <c r="E994" s="4"/>
      <c r="F994" s="4"/>
      <c r="G994" s="4"/>
    </row>
    <row r="995" spans="1:7" ht="15.75" customHeight="1" x14ac:dyDescent="0.35">
      <c r="A995" s="4"/>
      <c r="B995" s="4"/>
      <c r="C995" s="4"/>
      <c r="D995" s="4"/>
      <c r="E995" s="4"/>
      <c r="F995" s="4"/>
      <c r="G995" s="4"/>
    </row>
    <row r="996" spans="1:7" ht="15.75" customHeight="1" x14ac:dyDescent="0.35">
      <c r="A996" s="4"/>
      <c r="B996" s="4"/>
      <c r="C996" s="4"/>
      <c r="D996" s="4"/>
      <c r="E996" s="4"/>
      <c r="F996" s="4"/>
      <c r="G996" s="4"/>
    </row>
    <row r="997" spans="1:7" ht="15.75" customHeight="1" x14ac:dyDescent="0.35">
      <c r="A997" s="4"/>
      <c r="B997" s="4"/>
      <c r="C997" s="4"/>
      <c r="D997" s="4"/>
      <c r="E997" s="4"/>
      <c r="F997" s="4"/>
      <c r="G997" s="4"/>
    </row>
    <row r="998" spans="1:7" ht="15.75" customHeight="1" x14ac:dyDescent="0.35">
      <c r="A998" s="4"/>
      <c r="B998" s="4"/>
      <c r="C998" s="4"/>
      <c r="D998" s="4"/>
      <c r="E998" s="4"/>
      <c r="F998" s="4"/>
      <c r="G998" s="4"/>
    </row>
    <row r="999" spans="1:7" ht="15.75" customHeight="1" x14ac:dyDescent="0.35">
      <c r="A999" s="4"/>
      <c r="B999" s="4"/>
      <c r="C999" s="4"/>
      <c r="D999" s="4"/>
      <c r="E999" s="4"/>
      <c r="F999" s="4"/>
      <c r="G999" s="4"/>
    </row>
    <row r="1000" spans="1:7" ht="15.75" customHeight="1" x14ac:dyDescent="0.35">
      <c r="A1000" s="4"/>
      <c r="B1000" s="4"/>
      <c r="C1000" s="4"/>
      <c r="D1000" s="4"/>
      <c r="E1000" s="4"/>
      <c r="F1000" s="4"/>
      <c r="G1000" s="4"/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6"/>
  <sheetViews>
    <sheetView workbookViewId="0"/>
  </sheetViews>
  <sheetFormatPr baseColWidth="10" defaultColWidth="14.453125" defaultRowHeight="15" customHeight="1" x14ac:dyDescent="0.35"/>
  <cols>
    <col min="1" max="1" width="42" customWidth="1"/>
    <col min="2" max="3" width="17" customWidth="1"/>
    <col min="4" max="4" width="10" customWidth="1"/>
    <col min="5" max="9" width="12" customWidth="1"/>
    <col min="10" max="10" width="52" customWidth="1"/>
    <col min="11" max="26" width="8.7265625" customWidth="1"/>
  </cols>
  <sheetData>
    <row r="1" spans="1:10" ht="17.25" customHeight="1" x14ac:dyDescent="0.4">
      <c r="A1" s="1" t="s">
        <v>2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35">
      <c r="A2" s="5" t="s">
        <v>17</v>
      </c>
      <c r="B2" s="4"/>
      <c r="C2" s="4"/>
      <c r="D2" s="4"/>
      <c r="E2" s="4"/>
      <c r="F2" s="4"/>
      <c r="G2" s="4"/>
      <c r="H2" s="4"/>
      <c r="I2" s="4"/>
      <c r="J2" s="4"/>
    </row>
    <row r="3" spans="1:10" ht="14.5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26.25" customHeight="1" x14ac:dyDescent="0.35">
      <c r="A4" s="6" t="s">
        <v>33</v>
      </c>
      <c r="B4" s="6" t="s">
        <v>35</v>
      </c>
      <c r="C4" s="6" t="s">
        <v>37</v>
      </c>
      <c r="D4" s="6" t="s">
        <v>39</v>
      </c>
      <c r="E4" s="6" t="s">
        <v>41</v>
      </c>
      <c r="F4" s="6" t="s">
        <v>43</v>
      </c>
      <c r="G4" s="6" t="s">
        <v>45</v>
      </c>
      <c r="H4" s="6" t="s">
        <v>48</v>
      </c>
      <c r="I4" s="6" t="s">
        <v>50</v>
      </c>
      <c r="J4" s="6" t="s">
        <v>52</v>
      </c>
    </row>
    <row r="5" spans="1:10" ht="15" customHeight="1" x14ac:dyDescent="0.35">
      <c r="A5" s="3" t="s">
        <v>55</v>
      </c>
      <c r="B5" s="3" t="s">
        <v>57</v>
      </c>
      <c r="C5" s="3" t="s">
        <v>59</v>
      </c>
      <c r="D5" s="11">
        <v>7</v>
      </c>
      <c r="E5" s="12">
        <v>21600</v>
      </c>
      <c r="F5" s="12">
        <v>24000</v>
      </c>
      <c r="G5" s="12">
        <v>30000</v>
      </c>
      <c r="H5" s="12">
        <v>36000</v>
      </c>
      <c r="I5" s="12">
        <v>40000</v>
      </c>
      <c r="J5" s="3" t="s">
        <v>71</v>
      </c>
    </row>
    <row r="6" spans="1:10" ht="15" customHeight="1" x14ac:dyDescent="0.35">
      <c r="A6" s="3" t="s">
        <v>73</v>
      </c>
      <c r="B6" s="3" t="s">
        <v>57</v>
      </c>
      <c r="C6" s="3" t="s">
        <v>74</v>
      </c>
      <c r="D6" s="11">
        <v>7</v>
      </c>
      <c r="E6" s="12">
        <v>21600</v>
      </c>
      <c r="F6" s="12">
        <v>24000</v>
      </c>
      <c r="G6" s="12">
        <v>30000</v>
      </c>
      <c r="H6" s="12">
        <v>36000</v>
      </c>
      <c r="I6" s="12">
        <v>40000</v>
      </c>
      <c r="J6" s="3" t="s">
        <v>71</v>
      </c>
    </row>
    <row r="7" spans="1:10" ht="15" customHeight="1" x14ac:dyDescent="0.35">
      <c r="A7" s="3" t="s">
        <v>75</v>
      </c>
      <c r="B7" s="3" t="s">
        <v>76</v>
      </c>
      <c r="C7" s="3" t="s">
        <v>77</v>
      </c>
      <c r="D7" s="11">
        <v>10</v>
      </c>
      <c r="E7" s="12">
        <v>30000</v>
      </c>
      <c r="F7" s="12">
        <v>31000</v>
      </c>
      <c r="G7" s="12">
        <v>33000</v>
      </c>
      <c r="H7" s="12">
        <v>35000</v>
      </c>
      <c r="I7" s="12">
        <v>37000</v>
      </c>
      <c r="J7" s="3" t="s">
        <v>79</v>
      </c>
    </row>
    <row r="8" spans="1:10" ht="15" customHeight="1" x14ac:dyDescent="0.35">
      <c r="A8" s="3" t="s">
        <v>80</v>
      </c>
      <c r="B8" s="3" t="s">
        <v>57</v>
      </c>
      <c r="C8" s="3" t="s">
        <v>81</v>
      </c>
      <c r="D8" s="11">
        <v>13</v>
      </c>
      <c r="E8" s="12">
        <v>0</v>
      </c>
      <c r="F8" s="12">
        <v>24000</v>
      </c>
      <c r="G8" s="12">
        <v>30000</v>
      </c>
      <c r="H8" s="12">
        <v>34000</v>
      </c>
      <c r="I8" s="12">
        <v>38000</v>
      </c>
      <c r="J8" s="3" t="s">
        <v>84</v>
      </c>
    </row>
    <row r="9" spans="1:10" ht="15" customHeight="1" x14ac:dyDescent="0.35">
      <c r="A9" s="3" t="s">
        <v>85</v>
      </c>
      <c r="B9" s="3" t="s">
        <v>76</v>
      </c>
      <c r="C9" s="3" t="s">
        <v>74</v>
      </c>
      <c r="D9" s="11">
        <v>13</v>
      </c>
      <c r="E9" s="12">
        <v>0</v>
      </c>
      <c r="F9" s="12">
        <v>26000</v>
      </c>
      <c r="G9" s="12">
        <v>27000</v>
      </c>
      <c r="H9" s="12">
        <v>28000</v>
      </c>
      <c r="I9" s="12">
        <v>29000</v>
      </c>
      <c r="J9" s="3" t="s">
        <v>88</v>
      </c>
    </row>
    <row r="10" spans="1:10" ht="15" customHeight="1" x14ac:dyDescent="0.35">
      <c r="A10" s="3" t="s">
        <v>90</v>
      </c>
      <c r="B10" s="3" t="s">
        <v>76</v>
      </c>
      <c r="C10" s="3" t="s">
        <v>91</v>
      </c>
      <c r="D10" s="11">
        <v>16</v>
      </c>
      <c r="E10" s="12">
        <v>0</v>
      </c>
      <c r="F10" s="12">
        <v>22000</v>
      </c>
      <c r="G10" s="12">
        <v>23000</v>
      </c>
      <c r="H10" s="12">
        <v>24000</v>
      </c>
      <c r="I10" s="12">
        <v>25000</v>
      </c>
      <c r="J10" s="3" t="s">
        <v>94</v>
      </c>
    </row>
    <row r="11" spans="1:10" ht="15" customHeight="1" x14ac:dyDescent="0.35">
      <c r="A11" s="3" t="s">
        <v>96</v>
      </c>
      <c r="B11" s="3" t="s">
        <v>76</v>
      </c>
      <c r="C11" s="3" t="s">
        <v>77</v>
      </c>
      <c r="D11" s="11">
        <v>25</v>
      </c>
      <c r="E11" s="12">
        <v>0</v>
      </c>
      <c r="F11" s="12">
        <v>0</v>
      </c>
      <c r="G11" s="12">
        <v>30000</v>
      </c>
      <c r="H11" s="12">
        <v>32000</v>
      </c>
      <c r="I11" s="12">
        <v>34000</v>
      </c>
      <c r="J11" s="3" t="s">
        <v>103</v>
      </c>
    </row>
    <row r="12" spans="1:10" ht="15" customHeight="1" x14ac:dyDescent="0.35">
      <c r="A12" s="3" t="s">
        <v>106</v>
      </c>
      <c r="B12" s="3" t="s">
        <v>76</v>
      </c>
      <c r="C12" s="3" t="s">
        <v>81</v>
      </c>
      <c r="D12" s="11">
        <v>31</v>
      </c>
      <c r="E12" s="12">
        <v>0</v>
      </c>
      <c r="F12" s="12">
        <v>0</v>
      </c>
      <c r="G12" s="12">
        <v>24000</v>
      </c>
      <c r="H12" s="12">
        <v>25000</v>
      </c>
      <c r="I12" s="12">
        <v>26000</v>
      </c>
      <c r="J12" s="3" t="s">
        <v>109</v>
      </c>
    </row>
    <row r="13" spans="1:10" ht="15" customHeight="1" x14ac:dyDescent="0.35">
      <c r="A13" s="3" t="s">
        <v>110</v>
      </c>
      <c r="B13" s="3" t="s">
        <v>76</v>
      </c>
      <c r="C13" s="3" t="s">
        <v>74</v>
      </c>
      <c r="D13" s="11">
        <v>37</v>
      </c>
      <c r="E13" s="12">
        <v>0</v>
      </c>
      <c r="F13" s="12">
        <v>0</v>
      </c>
      <c r="G13" s="12">
        <v>0</v>
      </c>
      <c r="H13" s="12">
        <v>28000</v>
      </c>
      <c r="I13" s="12">
        <v>29000</v>
      </c>
      <c r="J13" s="3" t="s">
        <v>114</v>
      </c>
    </row>
    <row r="14" spans="1:10" ht="15" customHeight="1" x14ac:dyDescent="0.35">
      <c r="A14" s="3" t="s">
        <v>116</v>
      </c>
      <c r="B14" s="3" t="s">
        <v>76</v>
      </c>
      <c r="C14" s="3" t="s">
        <v>77</v>
      </c>
      <c r="D14" s="11">
        <v>37</v>
      </c>
      <c r="E14" s="12">
        <v>0</v>
      </c>
      <c r="F14" s="12">
        <v>0</v>
      </c>
      <c r="G14" s="12">
        <v>0</v>
      </c>
      <c r="H14" s="12">
        <v>36000</v>
      </c>
      <c r="I14" s="12">
        <v>38000</v>
      </c>
      <c r="J14" s="3" t="s">
        <v>118</v>
      </c>
    </row>
    <row r="15" spans="1:10" ht="15" customHeight="1" x14ac:dyDescent="0.35">
      <c r="A15" s="3" t="s">
        <v>120</v>
      </c>
      <c r="B15" s="3" t="s">
        <v>76</v>
      </c>
      <c r="C15" s="3" t="s">
        <v>81</v>
      </c>
      <c r="D15" s="11">
        <v>43</v>
      </c>
      <c r="E15" s="12">
        <v>0</v>
      </c>
      <c r="F15" s="12">
        <v>0</v>
      </c>
      <c r="G15" s="12">
        <v>0</v>
      </c>
      <c r="H15" s="12">
        <v>25000</v>
      </c>
      <c r="I15" s="12">
        <v>26000</v>
      </c>
      <c r="J15" s="3" t="s">
        <v>122</v>
      </c>
    </row>
    <row r="16" spans="1:10" ht="15" customHeight="1" x14ac:dyDescent="0.35">
      <c r="A16" s="3" t="s">
        <v>123</v>
      </c>
      <c r="B16" s="3" t="s">
        <v>76</v>
      </c>
      <c r="C16" s="3" t="s">
        <v>124</v>
      </c>
      <c r="D16" s="11">
        <v>43</v>
      </c>
      <c r="E16" s="12">
        <v>0</v>
      </c>
      <c r="F16" s="12">
        <v>0</v>
      </c>
      <c r="G16" s="12">
        <v>0</v>
      </c>
      <c r="H16" s="12">
        <v>26000</v>
      </c>
      <c r="I16" s="12">
        <v>27000</v>
      </c>
      <c r="J16" s="3" t="s">
        <v>122</v>
      </c>
    </row>
    <row r="17" spans="1:10" ht="15" customHeight="1" x14ac:dyDescent="0.35">
      <c r="A17" s="3" t="s">
        <v>127</v>
      </c>
      <c r="B17" s="3" t="s">
        <v>76</v>
      </c>
      <c r="C17" s="3" t="s">
        <v>74</v>
      </c>
      <c r="D17" s="11">
        <v>46</v>
      </c>
      <c r="E17" s="12">
        <v>0</v>
      </c>
      <c r="F17" s="12">
        <v>0</v>
      </c>
      <c r="G17" s="12">
        <v>0</v>
      </c>
      <c r="H17" s="12">
        <v>28000</v>
      </c>
      <c r="I17" s="12">
        <v>29000</v>
      </c>
      <c r="J17" s="3" t="s">
        <v>130</v>
      </c>
    </row>
    <row r="18" spans="1:10" ht="15" customHeight="1" x14ac:dyDescent="0.35">
      <c r="A18" s="3" t="s">
        <v>131</v>
      </c>
      <c r="B18" s="3" t="s">
        <v>76</v>
      </c>
      <c r="C18" s="3" t="s">
        <v>77</v>
      </c>
      <c r="D18" s="11">
        <v>55</v>
      </c>
      <c r="E18" s="12">
        <v>0</v>
      </c>
      <c r="F18" s="12">
        <v>0</v>
      </c>
      <c r="G18" s="12">
        <v>0</v>
      </c>
      <c r="H18" s="12">
        <v>0</v>
      </c>
      <c r="I18" s="12">
        <v>35000</v>
      </c>
      <c r="J18" s="3" t="s">
        <v>136</v>
      </c>
    </row>
    <row r="19" spans="1:10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5" customHeight="1" x14ac:dyDescent="0.35">
      <c r="A20" s="2" t="s">
        <v>139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ht="15" customHeight="1" x14ac:dyDescent="0.35">
      <c r="A21" s="3" t="s">
        <v>142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spans="1:10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spans="1:10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spans="1:10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spans="1:10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spans="1:10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spans="1:10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spans="1:10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spans="1:10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spans="1:10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spans="1:10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spans="1:10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spans="1:10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spans="1:10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spans="1:10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spans="1:10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spans="1:10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spans="1:10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spans="1:10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spans="1:10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spans="1:10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spans="1:10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spans="1:10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spans="1:10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spans="1:10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spans="1:10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spans="1:10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spans="1:10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spans="1:10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spans="1:10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spans="1:10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spans="1:10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spans="1:10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spans="1:10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spans="1:10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spans="1:10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spans="1:10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spans="1:10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spans="1:10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spans="1:10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spans="1:10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spans="1:10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spans="1:10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spans="1:10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spans="1:10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spans="1:10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spans="1:10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spans="1:10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spans="1:10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spans="1:10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spans="1:10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spans="1:10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spans="1:10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spans="1:10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spans="1:10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spans="1:10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spans="1:10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spans="1:10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spans="1:10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0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spans="1:10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spans="1:10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spans="1:10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spans="1:10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spans="1:10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spans="1:10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spans="1:10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spans="1:10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spans="1:10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spans="1:10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spans="1:10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spans="1:10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spans="1:10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spans="1:10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spans="1:10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spans="1:10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spans="1:10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spans="1:10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spans="1:10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spans="1:10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spans="1:10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spans="1:10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spans="1:10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spans="1:10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spans="1:10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spans="1:10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spans="1:10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spans="1:10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spans="1:10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spans="1:10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spans="1:10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spans="1:10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spans="1:10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spans="1:10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spans="1:10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spans="1:10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spans="1:10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spans="1:10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spans="1:10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spans="1:10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spans="1:10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spans="1:10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spans="1:10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spans="1:10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spans="1:10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spans="1:10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spans="1:10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spans="1:10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spans="1:10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spans="1:10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spans="1:10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spans="1:10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spans="1:10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spans="1:10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spans="1:10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spans="1:10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spans="1:10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spans="1:10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spans="1:10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spans="1:10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spans="1:10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spans="1:10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spans="1:10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spans="1:10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spans="1:10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spans="1:10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spans="1:10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spans="1:10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spans="1:10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spans="1:10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spans="1:10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spans="1:10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spans="1:10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spans="1:10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spans="1:10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spans="1:10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spans="1:10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spans="1:10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spans="1:10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spans="1:10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spans="1:10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spans="1:10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spans="1:10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spans="1:10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spans="1:10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spans="1:10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spans="1:10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spans="1:10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spans="1:10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spans="1:10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spans="1:10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spans="1:10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spans="1:10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spans="1:10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spans="1:10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spans="1:10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10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spans="1:10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spans="1:10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spans="1:10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spans="1:10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spans="1:10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spans="1:10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spans="1:10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spans="1:10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spans="1:10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spans="1:10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spans="1:10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spans="1:10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spans="1:10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spans="1:10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spans="1:10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spans="1:10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spans="1:10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spans="1:10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spans="1:10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spans="1:10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spans="1:10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spans="1:10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spans="1:10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spans="1:10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0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spans="1:10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spans="1:10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spans="1:10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spans="1:10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spans="1:10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spans="1:10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spans="1:10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spans="1:10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spans="1:10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spans="1:10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spans="1:10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spans="1:10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spans="1:10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spans="1:10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spans="1:10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spans="1:10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spans="1:10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spans="1:10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spans="1:10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spans="1:10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spans="1:10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spans="1:10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spans="1:10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spans="1:10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spans="1:10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spans="1:10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spans="1:10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spans="1:10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spans="1:10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spans="1:10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spans="1:10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spans="1:10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spans="1:10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spans="1:10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spans="1:10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spans="1:10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spans="1:10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spans="1:10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spans="1:10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spans="1:10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spans="1:10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spans="1:10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spans="1:10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spans="1:10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spans="1:10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spans="1:10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spans="1:10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spans="1:10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spans="1:10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spans="1:10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spans="1:10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spans="1:10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spans="1:10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spans="1:10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spans="1:10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spans="1:10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spans="1:10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spans="1:10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spans="1:10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spans="1:10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spans="1:10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spans="1:10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spans="1:10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spans="1:10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spans="1:10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spans="1:10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spans="1:10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spans="1:10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spans="1:10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spans="1:10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spans="1:10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spans="1:10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spans="1:10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spans="1:10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spans="1:10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spans="1:10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spans="1:10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spans="1:10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spans="1:10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spans="1:10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spans="1:10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spans="1:10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spans="1:10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spans="1:10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spans="1:10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spans="1:10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spans="1:10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spans="1:10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spans="1:10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spans="1:10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spans="1:10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spans="1:10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spans="1:10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spans="1:10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spans="1:10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spans="1:10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spans="1:10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spans="1:10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spans="1:10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spans="1:10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spans="1:10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spans="1:10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spans="1:10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spans="1:10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spans="1:10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spans="1:10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spans="1:10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spans="1:10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spans="1:10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spans="1:10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spans="1:10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spans="1:10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spans="1:10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spans="1:10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spans="1:10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spans="1:10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spans="1:10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spans="1:10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spans="1:10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spans="1:10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spans="1:10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spans="1:10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spans="1:10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spans="1:10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spans="1:10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spans="1:10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spans="1:10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spans="1:10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spans="1:10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spans="1:10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spans="1:10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spans="1:10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spans="1:10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spans="1:10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spans="1:10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spans="1:10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spans="1:10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spans="1:10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spans="1:10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spans="1:10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spans="1:10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spans="1:10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spans="1:10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spans="1:10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spans="1:10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spans="1:10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spans="1:10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spans="1:10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spans="1:10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spans="1:10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spans="1:10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spans="1:10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spans="1:10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spans="1:10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spans="1:10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spans="1:10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spans="1:10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spans="1:10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spans="1:10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spans="1:10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spans="1:10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spans="1:10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spans="1:10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spans="1:10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spans="1:10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spans="1:10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spans="1:10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spans="1:10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spans="1:10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spans="1:10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spans="1:10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spans="1:10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spans="1:10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spans="1:10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spans="1:10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spans="1:10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spans="1:10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spans="1:10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spans="1:10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spans="1:10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spans="1:10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spans="1:10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spans="1:10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spans="1:10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spans="1:10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spans="1:10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spans="1:10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spans="1:10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spans="1:10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spans="1:10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spans="1:10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spans="1:10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spans="1:10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spans="1:10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spans="1:10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spans="1:10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spans="1:10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spans="1:10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spans="1:10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spans="1:10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spans="1:10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spans="1:10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spans="1:10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spans="1:10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spans="1:10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spans="1:10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spans="1:10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spans="1:10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spans="1:10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spans="1:10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spans="1:10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spans="1:10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spans="1:10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spans="1:10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spans="1:10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spans="1:10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spans="1:10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spans="1:10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spans="1:10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spans="1:10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spans="1:10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spans="1:10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spans="1:10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spans="1:10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spans="1:10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spans="1:10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spans="1:10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spans="1:10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spans="1:10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spans="1:10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spans="1:10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spans="1:10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spans="1:10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spans="1:10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spans="1:10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spans="1:10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spans="1:10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spans="1:10" ht="15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spans="1:10" ht="15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spans="1:10" ht="15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spans="1:10" ht="15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spans="1:10" ht="15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spans="1:10" ht="15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spans="1:10" ht="15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spans="1:10" ht="15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spans="1:10" ht="15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spans="1:10" ht="15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spans="1:10" ht="15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spans="1:10" ht="15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spans="1:10" ht="15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spans="1:10" ht="15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spans="1:10" ht="15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spans="1:10" ht="15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spans="1:10" ht="15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spans="1:10" ht="15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spans="1:10" ht="15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spans="1:10" ht="15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spans="1:10" ht="15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spans="1:10" ht="15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spans="1:10" ht="15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spans="1:10" ht="15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spans="1:10" ht="15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spans="1:10" ht="15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spans="1:10" ht="15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spans="1:10" ht="15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spans="1:10" ht="15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spans="1:10" ht="15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spans="1:10" ht="15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spans="1:10" ht="15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spans="1:10" ht="15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spans="1:10" ht="15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spans="1:10" ht="15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spans="1:10" ht="15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spans="1:10" ht="15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spans="1:10" ht="15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spans="1:10" ht="15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spans="1:10" ht="15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spans="1:10" ht="15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spans="1:10" ht="15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spans="1:10" ht="15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spans="1:10" ht="15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spans="1:10" ht="15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spans="1:10" ht="15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spans="1:10" ht="15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spans="1:10" ht="15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spans="1:10" ht="15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spans="1:10" ht="15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spans="1:10" ht="15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spans="1:10" ht="15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spans="1:10" ht="15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spans="1:10" ht="15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spans="1:10" ht="15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spans="1:10" ht="15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spans="1:10" ht="15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spans="1:10" ht="15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spans="1:10" ht="15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spans="1:10" ht="15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spans="1:10" ht="15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spans="1:10" ht="15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spans="1:10" ht="15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spans="1:10" ht="15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spans="1:10" ht="15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spans="1:10" ht="15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spans="1:10" ht="15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spans="1:10" ht="15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53125" defaultRowHeight="15" customHeight="1" x14ac:dyDescent="0.35"/>
  <cols>
    <col min="1" max="2" width="6" customWidth="1"/>
    <col min="3" max="36" width="13" customWidth="1"/>
  </cols>
  <sheetData>
    <row r="1" spans="1:36" ht="45" customHeight="1" x14ac:dyDescent="0.35">
      <c r="A1" s="6" t="s">
        <v>4</v>
      </c>
      <c r="B1" s="6" t="s">
        <v>11</v>
      </c>
      <c r="C1" s="6" t="s">
        <v>13</v>
      </c>
      <c r="D1" s="6" t="s">
        <v>14</v>
      </c>
      <c r="E1" s="6" t="s">
        <v>16</v>
      </c>
      <c r="F1" s="6" t="s">
        <v>19</v>
      </c>
      <c r="G1" s="6" t="s">
        <v>21</v>
      </c>
      <c r="H1" s="6" t="s">
        <v>23</v>
      </c>
      <c r="I1" s="6" t="s">
        <v>25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34</v>
      </c>
      <c r="Q1" s="6" t="s">
        <v>36</v>
      </c>
      <c r="R1" s="6" t="s">
        <v>38</v>
      </c>
      <c r="S1" s="6" t="s">
        <v>40</v>
      </c>
      <c r="T1" s="6" t="s">
        <v>42</v>
      </c>
      <c r="U1" s="6" t="s">
        <v>44</v>
      </c>
      <c r="V1" s="6" t="s">
        <v>47</v>
      </c>
      <c r="W1" s="6" t="s">
        <v>49</v>
      </c>
      <c r="X1" s="6" t="s">
        <v>51</v>
      </c>
      <c r="Y1" s="6" t="s">
        <v>53</v>
      </c>
      <c r="Z1" s="6" t="s">
        <v>54</v>
      </c>
      <c r="AA1" s="6" t="s">
        <v>56</v>
      </c>
      <c r="AB1" s="6" t="s">
        <v>58</v>
      </c>
      <c r="AC1" s="6" t="s">
        <v>60</v>
      </c>
      <c r="AD1" s="6" t="s">
        <v>62</v>
      </c>
      <c r="AE1" s="6" t="s">
        <v>63</v>
      </c>
      <c r="AF1" s="6" t="s">
        <v>65</v>
      </c>
      <c r="AG1" s="6" t="s">
        <v>66</v>
      </c>
      <c r="AH1" s="6" t="s">
        <v>67</v>
      </c>
      <c r="AI1" s="6" t="s">
        <v>68</v>
      </c>
      <c r="AJ1" s="6" t="s">
        <v>69</v>
      </c>
    </row>
    <row r="2" spans="1:36" ht="15" customHeight="1" x14ac:dyDescent="0.35">
      <c r="A2" s="14">
        <v>1</v>
      </c>
      <c r="B2" s="14">
        <f t="shared" ref="B2:B61" si="0">INT((A2-1)/12)+1</f>
        <v>1</v>
      </c>
      <c r="C2" s="18">
        <f t="array" ref="C2">IF(A2&lt;Supuestos!$B$13,0,INDEX(Supuestos!$B$27:$F$27,1,$B2)*Supuestos!$B$6)</f>
        <v>0</v>
      </c>
      <c r="D2" s="18">
        <f>IF(A2=Supuestos!$B$13,Supuestos!$B$14,0)</f>
        <v>0</v>
      </c>
      <c r="E2" s="18">
        <f>C2+D2</f>
        <v>0</v>
      </c>
      <c r="F2" s="18">
        <f t="array" ref="F2">INDEX(Supuestos!$B$28:$F$28,1,$B2)</f>
        <v>13</v>
      </c>
      <c r="G2" s="23">
        <f t="shared" ref="G2:G61" si="1">E2*F2</f>
        <v>0</v>
      </c>
      <c r="H2" s="25">
        <f t="array" ref="H2">(Supuestos!$B$11*(1-INDEX(Supuestos!$B$29:$F$29,1,$B2))+Supuestos!$B$12*INDEX(Supuestos!$B$29:$F$29,1,$B2))*(1-INDEX(Supuestos!$B$30:$F$30,1,$B2))*Supuestos!$B$8</f>
        <v>14.8</v>
      </c>
      <c r="I2" s="26">
        <f t="shared" ref="I2:I61" si="2">G2*H2</f>
        <v>0</v>
      </c>
      <c r="J2" s="26">
        <f t="array" ref="J2">IF(A2&lt;Supuestos!$B$15,0,G2*INDEX(Supuestos!$B$31:$F$31,1,$B2)/12*INDEX(Supuestos!$B$32:$F$32,1,$B2))</f>
        <v>0</v>
      </c>
      <c r="K2" s="26">
        <f>J2*Supuestos!$B$16</f>
        <v>0</v>
      </c>
      <c r="L2" s="26">
        <f t="shared" ref="L2:L61" si="3">I2+K2</f>
        <v>0</v>
      </c>
      <c r="M2" s="26">
        <f t="array" ref="M2">SUMPRODUCT((Plantilla!$D$5:$D$18&lt;=A2)*INDEX(Plantilla!$E$5:$I$18,0,B2))/12</f>
        <v>0</v>
      </c>
      <c r="N2" s="26">
        <f>M2*Supuestos!$B$17</f>
        <v>0</v>
      </c>
      <c r="O2" s="26">
        <f t="shared" ref="O2:O61" si="4">M2+N2</f>
        <v>0</v>
      </c>
      <c r="P2" s="26">
        <f t="array" ref="P2">C2*INDEX(Supuestos!$B$33:$F$33,1,$B2)+INDEX(Supuestos!$B$34:$F$34,1,$B2)+L2*INDEX(Supuestos!$B$35:$F$35,1,$B2)+IF(AND(A2&gt;=4,A2&lt;=6),Supuestos!$B$20/3,0)</f>
        <v>0</v>
      </c>
      <c r="Q2" s="26">
        <f t="array" ref="Q2">INDEX(Supuestos!$B$36:$F$36,1,$B2)</f>
        <v>150</v>
      </c>
      <c r="R2" s="26">
        <f>G2*Supuestos!$B$18</f>
        <v>0</v>
      </c>
      <c r="S2" s="26">
        <f>L2*Supuestos!$B$19</f>
        <v>0</v>
      </c>
      <c r="T2" s="26">
        <f t="array" ref="T2">INDEX(Supuestos!$B$37:$F$37,1,$B2)</f>
        <v>820</v>
      </c>
      <c r="U2" s="26">
        <f>SUMIF(Supuestos!$B$41:$B$43,A2,Supuestos!$C$41:$C$43)</f>
        <v>5200</v>
      </c>
      <c r="V2" s="26">
        <f t="shared" ref="V2:V61" si="5">O2+P2+Q2+R2+S2+T2+U2</f>
        <v>6170</v>
      </c>
      <c r="W2" s="26">
        <f t="shared" ref="W2:W61" si="6">L2-V2</f>
        <v>-6170</v>
      </c>
      <c r="X2" s="26">
        <f>SUMIF(Supuestos!$B$45:$B$47,A2,Supuestos!$C$45:$C$47)</f>
        <v>6000</v>
      </c>
      <c r="Y2" s="26">
        <f>SUMPRODUCT((Supuestos!$B$45:$B$47&lt;=A2)*(Supuestos!$B$45:$B$47+Supuestos!$B$21&gt;A2)*Supuestos!$C$45:$C$47)/Supuestos!$B$21</f>
        <v>166.66666666666666</v>
      </c>
      <c r="Z2" s="26">
        <f t="shared" ref="Z2:Z61" si="7">W2-Y2</f>
        <v>-6336.666666666667</v>
      </c>
      <c r="AA2" s="26">
        <f>0</f>
        <v>0</v>
      </c>
      <c r="AB2" s="26">
        <f t="shared" ref="AB2:AB61" si="8">Z2-AA2</f>
        <v>-6336.666666666667</v>
      </c>
      <c r="AC2" s="26">
        <f>IF(AND(A2&gt;Supuestos!$B$52+Supuestos!$B$54,A2&lt;=Supuestos!$B$52+Supuestos!$B$54+Supuestos!$B$55),Supuestos!$B$51/Supuestos!$B$55,0)</f>
        <v>0</v>
      </c>
      <c r="AD2" s="26">
        <f>IF(A2=1,Supuestos!$B$50,0)+IF(A2=Supuestos!$B$52,Supuestos!$B$51,0)+IF(A2=Supuestos!$B$57,Supuestos!$B$56,0)</f>
        <v>30000</v>
      </c>
      <c r="AE2" s="26">
        <f t="array" ref="AE2">IF(AND(MOD(A2,12)=0,B2&gt;=2),INDEX(Anual!$B$32:$F$32,1,B2-1),0)</f>
        <v>0</v>
      </c>
      <c r="AF2" s="26">
        <f>L2-V2-X2-AA2-AC2+AD2-AE2</f>
        <v>17830</v>
      </c>
      <c r="AG2" s="14">
        <f>COUNTIF(Plantilla!$D$5:$D$18,"&lt;="&amp;A2)</f>
        <v>0</v>
      </c>
      <c r="AH2" s="14">
        <f t="shared" ref="AH2:AH60" si="9">IF(AND(W2&gt;0,AH3=1),1,0)</f>
        <v>0</v>
      </c>
      <c r="AI2" s="26">
        <f t="array" ref="AI2">SUMPRODUCT((Plantilla!$D$5:$D$18&lt;=A2)*(Plantilla!$C$5:$C$18="Comercial")*INDEX(Plantilla!$E$5:$I$18,0,B2))/12*(1+Supuestos!$B$17)</f>
        <v>0</v>
      </c>
      <c r="AJ2" s="26">
        <f t="array" ref="AJ2">SUMPRODUCT((Plantilla!$D$5:$D$18&lt;=A2)*(Plantilla!$C$5:$C$18="Customer Success")*INDEX(Plantilla!$E$5:$I$18,0,B2))/12*(1+Supuestos!$B$17)</f>
        <v>0</v>
      </c>
    </row>
    <row r="3" spans="1:36" ht="15" customHeight="1" x14ac:dyDescent="0.35">
      <c r="A3" s="14">
        <v>2</v>
      </c>
      <c r="B3" s="14">
        <f t="shared" si="0"/>
        <v>1</v>
      </c>
      <c r="C3" s="18">
        <f t="array" ref="C3">IF(A3&lt;Supuestos!$B$13,0,INDEX(Supuestos!$B$27:$F$27,1,$B3)*Supuestos!$B$6)</f>
        <v>0</v>
      </c>
      <c r="D3" s="18">
        <f>IF(A3=Supuestos!$B$13,Supuestos!$B$14,0)</f>
        <v>0</v>
      </c>
      <c r="E3" s="18">
        <f>E2*(1-Supuestos!$B$7)+C3+D3</f>
        <v>0</v>
      </c>
      <c r="F3" s="18">
        <f t="array" ref="F3">INDEX(Supuestos!$B$28:$F$28,1,$B3)</f>
        <v>13</v>
      </c>
      <c r="G3" s="23">
        <f t="shared" si="1"/>
        <v>0</v>
      </c>
      <c r="H3" s="25">
        <f t="array" ref="H3">(Supuestos!$B$11*(1-INDEX(Supuestos!$B$29:$F$29,1,$B3))+Supuestos!$B$12*INDEX(Supuestos!$B$29:$F$29,1,$B3))*(1-INDEX(Supuestos!$B$30:$F$30,1,$B3))*Supuestos!$B$8</f>
        <v>14.8</v>
      </c>
      <c r="I3" s="26">
        <f t="shared" si="2"/>
        <v>0</v>
      </c>
      <c r="J3" s="26">
        <f t="array" ref="J3">IF(A3&lt;Supuestos!$B$15,0,G3*INDEX(Supuestos!$B$31:$F$31,1,$B3)/12*INDEX(Supuestos!$B$32:$F$32,1,$B3))</f>
        <v>0</v>
      </c>
      <c r="K3" s="26">
        <f>J3*Supuestos!$B$16</f>
        <v>0</v>
      </c>
      <c r="L3" s="26">
        <f t="shared" si="3"/>
        <v>0</v>
      </c>
      <c r="M3" s="26">
        <f t="array" ref="M3">SUMPRODUCT((Plantilla!$D$5:$D$18&lt;=A3)*INDEX(Plantilla!$E$5:$I$18,0,B3))/12</f>
        <v>0</v>
      </c>
      <c r="N3" s="26">
        <f>M3*Supuestos!$B$17</f>
        <v>0</v>
      </c>
      <c r="O3" s="26">
        <f t="shared" si="4"/>
        <v>0</v>
      </c>
      <c r="P3" s="26">
        <f t="array" ref="P3">C3*INDEX(Supuestos!$B$33:$F$33,1,$B3)+INDEX(Supuestos!$B$34:$F$34,1,$B3)+L3*INDEX(Supuestos!$B$35:$F$35,1,$B3)+IF(AND(A3&gt;=4,A3&lt;=6),Supuestos!$B$20/3,0)</f>
        <v>0</v>
      </c>
      <c r="Q3" s="26">
        <f t="array" ref="Q3">INDEX(Supuestos!$B$36:$F$36,1,$B3)</f>
        <v>150</v>
      </c>
      <c r="R3" s="26">
        <f>G3*Supuestos!$B$18</f>
        <v>0</v>
      </c>
      <c r="S3" s="26">
        <f>L3*Supuestos!$B$19</f>
        <v>0</v>
      </c>
      <c r="T3" s="26">
        <f t="array" ref="T3">INDEX(Supuestos!$B$37:$F$37,1,$B3)</f>
        <v>820</v>
      </c>
      <c r="U3" s="26">
        <f>SUMIF(Supuestos!$B$41:$B$43,A3,Supuestos!$C$41:$C$43)</f>
        <v>0</v>
      </c>
      <c r="V3" s="26">
        <f t="shared" si="5"/>
        <v>970</v>
      </c>
      <c r="W3" s="26">
        <f t="shared" si="6"/>
        <v>-970</v>
      </c>
      <c r="X3" s="26">
        <f>SUMIF(Supuestos!$B$45:$B$47,A3,Supuestos!$C$45:$C$47)</f>
        <v>0</v>
      </c>
      <c r="Y3" s="26">
        <f>SUMPRODUCT((Supuestos!$B$45:$B$47&lt;=A3)*(Supuestos!$B$45:$B$47+Supuestos!$B$21&gt;A3)*Supuestos!$C$45:$C$47)/Supuestos!$B$21</f>
        <v>166.66666666666666</v>
      </c>
      <c r="Z3" s="26">
        <f t="shared" si="7"/>
        <v>-1136.6666666666667</v>
      </c>
      <c r="AA3" s="26">
        <f>IF(A3&gt;=Supuestos!$B$52,(Supuestos!$B$51-SUM(AC$1:AC2))*Supuestos!$B$53/12,0)</f>
        <v>0</v>
      </c>
      <c r="AB3" s="26">
        <f t="shared" si="8"/>
        <v>-1136.6666666666667</v>
      </c>
      <c r="AC3" s="26">
        <f>IF(AND(A3&gt;Supuestos!$B$52+Supuestos!$B$54,A3&lt;=Supuestos!$B$52+Supuestos!$B$54+Supuestos!$B$55),Supuestos!$B$51/Supuestos!$B$55,0)</f>
        <v>0</v>
      </c>
      <c r="AD3" s="26">
        <f>IF(A3=1,Supuestos!$B$50,0)+IF(A3=Supuestos!$B$52,Supuestos!$B$51,0)+IF(A3=Supuestos!$B$57,Supuestos!$B$56,0)</f>
        <v>0</v>
      </c>
      <c r="AE3" s="26">
        <f t="array" ref="AE3">IF(AND(MOD(A3,12)=0,B3&gt;=2),INDEX(Anual!$B$32:$F$32,1,B3-1),0)</f>
        <v>0</v>
      </c>
      <c r="AF3" s="26">
        <f t="shared" ref="AF3:AF61" si="10">AF2+L3-V3-X3-AA3-AC3+AD3-AE3</f>
        <v>16860</v>
      </c>
      <c r="AG3" s="14">
        <f>COUNTIF(Plantilla!$D$5:$D$18,"&lt;="&amp;A3)</f>
        <v>0</v>
      </c>
      <c r="AH3" s="14">
        <f t="shared" si="9"/>
        <v>0</v>
      </c>
      <c r="AI3" s="26">
        <f t="array" ref="AI3">SUMPRODUCT((Plantilla!$D$5:$D$18&lt;=A3)*(Plantilla!$C$5:$C$18="Comercial")*INDEX(Plantilla!$E$5:$I$18,0,B3))/12*(1+Supuestos!$B$17)</f>
        <v>0</v>
      </c>
      <c r="AJ3" s="26">
        <f t="array" ref="AJ3">SUMPRODUCT((Plantilla!$D$5:$D$18&lt;=A3)*(Plantilla!$C$5:$C$18="Customer Success")*INDEX(Plantilla!$E$5:$I$18,0,B3))/12*(1+Supuestos!$B$17)</f>
        <v>0</v>
      </c>
    </row>
    <row r="4" spans="1:36" ht="15" customHeight="1" x14ac:dyDescent="0.35">
      <c r="A4" s="14">
        <v>3</v>
      </c>
      <c r="B4" s="14">
        <f t="shared" si="0"/>
        <v>1</v>
      </c>
      <c r="C4" s="18">
        <f t="array" ref="C4">IF(A4&lt;Supuestos!$B$13,0,INDEX(Supuestos!$B$27:$F$27,1,$B4)*Supuestos!$B$6)</f>
        <v>0</v>
      </c>
      <c r="D4" s="18">
        <f>IF(A4=Supuestos!$B$13,Supuestos!$B$14,0)</f>
        <v>0</v>
      </c>
      <c r="E4" s="18">
        <f>E3*(1-Supuestos!$B$7)+C4+D4</f>
        <v>0</v>
      </c>
      <c r="F4" s="18">
        <f t="array" ref="F4">INDEX(Supuestos!$B$28:$F$28,1,$B4)</f>
        <v>13</v>
      </c>
      <c r="G4" s="23">
        <f t="shared" si="1"/>
        <v>0</v>
      </c>
      <c r="H4" s="25">
        <f t="array" ref="H4">(Supuestos!$B$11*(1-INDEX(Supuestos!$B$29:$F$29,1,$B4))+Supuestos!$B$12*INDEX(Supuestos!$B$29:$F$29,1,$B4))*(1-INDEX(Supuestos!$B$30:$F$30,1,$B4))*Supuestos!$B$8</f>
        <v>14.8</v>
      </c>
      <c r="I4" s="26">
        <f t="shared" si="2"/>
        <v>0</v>
      </c>
      <c r="J4" s="26">
        <f t="array" ref="J4">IF(A4&lt;Supuestos!$B$15,0,G4*INDEX(Supuestos!$B$31:$F$31,1,$B4)/12*INDEX(Supuestos!$B$32:$F$32,1,$B4))</f>
        <v>0</v>
      </c>
      <c r="K4" s="26">
        <f>J4*Supuestos!$B$16</f>
        <v>0</v>
      </c>
      <c r="L4" s="26">
        <f t="shared" si="3"/>
        <v>0</v>
      </c>
      <c r="M4" s="26">
        <f t="array" ref="M4">SUMPRODUCT((Plantilla!$D$5:$D$18&lt;=A4)*INDEX(Plantilla!$E$5:$I$18,0,B4))/12</f>
        <v>0</v>
      </c>
      <c r="N4" s="26">
        <f>M4*Supuestos!$B$17</f>
        <v>0</v>
      </c>
      <c r="O4" s="26">
        <f t="shared" si="4"/>
        <v>0</v>
      </c>
      <c r="P4" s="26">
        <f t="array" ref="P4">C4*INDEX(Supuestos!$B$33:$F$33,1,$B4)+INDEX(Supuestos!$B$34:$F$34,1,$B4)+L4*INDEX(Supuestos!$B$35:$F$35,1,$B4)+IF(AND(A4&gt;=4,A4&lt;=6),Supuestos!$B$20/3,0)</f>
        <v>0</v>
      </c>
      <c r="Q4" s="26">
        <f t="array" ref="Q4">INDEX(Supuestos!$B$36:$F$36,1,$B4)</f>
        <v>150</v>
      </c>
      <c r="R4" s="26">
        <f>G4*Supuestos!$B$18</f>
        <v>0</v>
      </c>
      <c r="S4" s="26">
        <f>L4*Supuestos!$B$19</f>
        <v>0</v>
      </c>
      <c r="T4" s="26">
        <f t="array" ref="T4">INDEX(Supuestos!$B$37:$F$37,1,$B4)</f>
        <v>820</v>
      </c>
      <c r="U4" s="26">
        <f>SUMIF(Supuestos!$B$41:$B$43,A4,Supuestos!$C$41:$C$43)</f>
        <v>0</v>
      </c>
      <c r="V4" s="26">
        <f t="shared" si="5"/>
        <v>970</v>
      </c>
      <c r="W4" s="26">
        <f t="shared" si="6"/>
        <v>-970</v>
      </c>
      <c r="X4" s="26">
        <f>SUMIF(Supuestos!$B$45:$B$47,A4,Supuestos!$C$45:$C$47)</f>
        <v>0</v>
      </c>
      <c r="Y4" s="26">
        <f>SUMPRODUCT((Supuestos!$B$45:$B$47&lt;=A4)*(Supuestos!$B$45:$B$47+Supuestos!$B$21&gt;A4)*Supuestos!$C$45:$C$47)/Supuestos!$B$21</f>
        <v>166.66666666666666</v>
      </c>
      <c r="Z4" s="26">
        <f t="shared" si="7"/>
        <v>-1136.6666666666667</v>
      </c>
      <c r="AA4" s="26">
        <f>IF(A4&gt;=Supuestos!$B$52,(Supuestos!$B$51-SUM(AC$1:AC3))*Supuestos!$B$53/12,0)</f>
        <v>100</v>
      </c>
      <c r="AB4" s="26">
        <f t="shared" si="8"/>
        <v>-1236.6666666666667</v>
      </c>
      <c r="AC4" s="26">
        <f>IF(AND(A4&gt;Supuestos!$B$52+Supuestos!$B$54,A4&lt;=Supuestos!$B$52+Supuestos!$B$54+Supuestos!$B$55),Supuestos!$B$51/Supuestos!$B$55,0)</f>
        <v>0</v>
      </c>
      <c r="AD4" s="26">
        <f>IF(A4=1,Supuestos!$B$50,0)+IF(A4=Supuestos!$B$52,Supuestos!$B$51,0)+IF(A4=Supuestos!$B$57,Supuestos!$B$56,0)</f>
        <v>30000</v>
      </c>
      <c r="AE4" s="26">
        <f t="array" ref="AE4">IF(AND(MOD(A4,12)=0,B4&gt;=2),INDEX(Anual!$B$32:$F$32,1,B4-1),0)</f>
        <v>0</v>
      </c>
      <c r="AF4" s="26">
        <f t="shared" si="10"/>
        <v>45790</v>
      </c>
      <c r="AG4" s="14">
        <f>COUNTIF(Plantilla!$D$5:$D$18,"&lt;="&amp;A4)</f>
        <v>0</v>
      </c>
      <c r="AH4" s="14">
        <f t="shared" si="9"/>
        <v>0</v>
      </c>
      <c r="AI4" s="26">
        <f t="array" ref="AI4">SUMPRODUCT((Plantilla!$D$5:$D$18&lt;=A4)*(Plantilla!$C$5:$C$18="Comercial")*INDEX(Plantilla!$E$5:$I$18,0,B4))/12*(1+Supuestos!$B$17)</f>
        <v>0</v>
      </c>
      <c r="AJ4" s="26">
        <f t="array" ref="AJ4">SUMPRODUCT((Plantilla!$D$5:$D$18&lt;=A4)*(Plantilla!$C$5:$C$18="Customer Success")*INDEX(Plantilla!$E$5:$I$18,0,B4))/12*(1+Supuestos!$B$17)</f>
        <v>0</v>
      </c>
    </row>
    <row r="5" spans="1:36" ht="15" customHeight="1" x14ac:dyDescent="0.35">
      <c r="A5" s="14">
        <v>4</v>
      </c>
      <c r="B5" s="14">
        <f t="shared" si="0"/>
        <v>1</v>
      </c>
      <c r="C5" s="18">
        <f t="array" ref="C5">IF(A5&lt;Supuestos!$B$13,0,INDEX(Supuestos!$B$27:$F$27,1,$B5)*Supuestos!$B$6)</f>
        <v>0</v>
      </c>
      <c r="D5" s="18">
        <f>IF(A5=Supuestos!$B$13,Supuestos!$B$14,0)</f>
        <v>0</v>
      </c>
      <c r="E5" s="18">
        <f>E4*(1-Supuestos!$B$7)+C5+D5</f>
        <v>0</v>
      </c>
      <c r="F5" s="18">
        <f t="array" ref="F5">INDEX(Supuestos!$B$28:$F$28,1,$B5)</f>
        <v>13</v>
      </c>
      <c r="G5" s="23">
        <f t="shared" si="1"/>
        <v>0</v>
      </c>
      <c r="H5" s="25">
        <f t="array" ref="H5">(Supuestos!$B$11*(1-INDEX(Supuestos!$B$29:$F$29,1,$B5))+Supuestos!$B$12*INDEX(Supuestos!$B$29:$F$29,1,$B5))*(1-INDEX(Supuestos!$B$30:$F$30,1,$B5))*Supuestos!$B$8</f>
        <v>14.8</v>
      </c>
      <c r="I5" s="26">
        <f t="shared" si="2"/>
        <v>0</v>
      </c>
      <c r="J5" s="26">
        <f t="array" ref="J5">IF(A5&lt;Supuestos!$B$15,0,G5*INDEX(Supuestos!$B$31:$F$31,1,$B5)/12*INDEX(Supuestos!$B$32:$F$32,1,$B5))</f>
        <v>0</v>
      </c>
      <c r="K5" s="26">
        <f>J5*Supuestos!$B$16</f>
        <v>0</v>
      </c>
      <c r="L5" s="26">
        <f t="shared" si="3"/>
        <v>0</v>
      </c>
      <c r="M5" s="26">
        <f t="array" ref="M5">SUMPRODUCT((Plantilla!$D$5:$D$18&lt;=A5)*INDEX(Plantilla!$E$5:$I$18,0,B5))/12</f>
        <v>0</v>
      </c>
      <c r="N5" s="26">
        <f>M5*Supuestos!$B$17</f>
        <v>0</v>
      </c>
      <c r="O5" s="26">
        <f t="shared" si="4"/>
        <v>0</v>
      </c>
      <c r="P5" s="26">
        <f t="array" ref="P5">C5*INDEX(Supuestos!$B$33:$F$33,1,$B5)+INDEX(Supuestos!$B$34:$F$34,1,$B5)+L5*INDEX(Supuestos!$B$35:$F$35,1,$B5)+IF(AND(A5&gt;=4,A5&lt;=6),Supuestos!$B$20/3,0)</f>
        <v>1500</v>
      </c>
      <c r="Q5" s="26">
        <f t="array" ref="Q5">INDEX(Supuestos!$B$36:$F$36,1,$B5)</f>
        <v>150</v>
      </c>
      <c r="R5" s="26">
        <f>G5*Supuestos!$B$18</f>
        <v>0</v>
      </c>
      <c r="S5" s="26">
        <f>L5*Supuestos!$B$19</f>
        <v>0</v>
      </c>
      <c r="T5" s="26">
        <f t="array" ref="T5">INDEX(Supuestos!$B$37:$F$37,1,$B5)</f>
        <v>820</v>
      </c>
      <c r="U5" s="26">
        <f>SUMIF(Supuestos!$B$41:$B$43,A5,Supuestos!$C$41:$C$43)</f>
        <v>0</v>
      </c>
      <c r="V5" s="26">
        <f t="shared" si="5"/>
        <v>2470</v>
      </c>
      <c r="W5" s="26">
        <f t="shared" si="6"/>
        <v>-2470</v>
      </c>
      <c r="X5" s="26">
        <f>SUMIF(Supuestos!$B$45:$B$47,A5,Supuestos!$C$45:$C$47)</f>
        <v>0</v>
      </c>
      <c r="Y5" s="26">
        <f>SUMPRODUCT((Supuestos!$B$45:$B$47&lt;=A5)*(Supuestos!$B$45:$B$47+Supuestos!$B$21&gt;A5)*Supuestos!$C$45:$C$47)/Supuestos!$B$21</f>
        <v>166.66666666666666</v>
      </c>
      <c r="Z5" s="26">
        <f t="shared" si="7"/>
        <v>-2636.6666666666665</v>
      </c>
      <c r="AA5" s="26">
        <f>IF(A5&gt;=Supuestos!$B$52,(Supuestos!$B$51-SUM(AC$1:AC4))*Supuestos!$B$53/12,0)</f>
        <v>100</v>
      </c>
      <c r="AB5" s="26">
        <f t="shared" si="8"/>
        <v>-2736.6666666666665</v>
      </c>
      <c r="AC5" s="26">
        <f>IF(AND(A5&gt;Supuestos!$B$52+Supuestos!$B$54,A5&lt;=Supuestos!$B$52+Supuestos!$B$54+Supuestos!$B$55),Supuestos!$B$51/Supuestos!$B$55,0)</f>
        <v>0</v>
      </c>
      <c r="AD5" s="26">
        <f>IF(A5=1,Supuestos!$B$50,0)+IF(A5=Supuestos!$B$52,Supuestos!$B$51,0)+IF(A5=Supuestos!$B$57,Supuestos!$B$56,0)</f>
        <v>0</v>
      </c>
      <c r="AE5" s="26">
        <f t="array" ref="AE5">IF(AND(MOD(A5,12)=0,B5&gt;=2),INDEX(Anual!$B$32:$F$32,1,B5-1),0)</f>
        <v>0</v>
      </c>
      <c r="AF5" s="26">
        <f t="shared" si="10"/>
        <v>43220</v>
      </c>
      <c r="AG5" s="14">
        <f>COUNTIF(Plantilla!$D$5:$D$18,"&lt;="&amp;A5)</f>
        <v>0</v>
      </c>
      <c r="AH5" s="14">
        <f t="shared" si="9"/>
        <v>0</v>
      </c>
      <c r="AI5" s="26">
        <f t="array" ref="AI5">SUMPRODUCT((Plantilla!$D$5:$D$18&lt;=A5)*(Plantilla!$C$5:$C$18="Comercial")*INDEX(Plantilla!$E$5:$I$18,0,B5))/12*(1+Supuestos!$B$17)</f>
        <v>0</v>
      </c>
      <c r="AJ5" s="26">
        <f t="array" ref="AJ5">SUMPRODUCT((Plantilla!$D$5:$D$18&lt;=A5)*(Plantilla!$C$5:$C$18="Customer Success")*INDEX(Plantilla!$E$5:$I$18,0,B5))/12*(1+Supuestos!$B$17)</f>
        <v>0</v>
      </c>
    </row>
    <row r="6" spans="1:36" ht="15" customHeight="1" x14ac:dyDescent="0.35">
      <c r="A6" s="14">
        <v>5</v>
      </c>
      <c r="B6" s="14">
        <f t="shared" si="0"/>
        <v>1</v>
      </c>
      <c r="C6" s="18">
        <f t="array" ref="C6">IF(A6&lt;Supuestos!$B$13,0,INDEX(Supuestos!$B$27:$F$27,1,$B6)*Supuestos!$B$6)</f>
        <v>0</v>
      </c>
      <c r="D6" s="18">
        <f>IF(A6=Supuestos!$B$13,Supuestos!$B$14,0)</f>
        <v>0</v>
      </c>
      <c r="E6" s="18">
        <f>E5*(1-Supuestos!$B$7)+C6+D6</f>
        <v>0</v>
      </c>
      <c r="F6" s="18">
        <f t="array" ref="F6">INDEX(Supuestos!$B$28:$F$28,1,$B6)</f>
        <v>13</v>
      </c>
      <c r="G6" s="23">
        <f t="shared" si="1"/>
        <v>0</v>
      </c>
      <c r="H6" s="25">
        <f t="array" ref="H6">(Supuestos!$B$11*(1-INDEX(Supuestos!$B$29:$F$29,1,$B6))+Supuestos!$B$12*INDEX(Supuestos!$B$29:$F$29,1,$B6))*(1-INDEX(Supuestos!$B$30:$F$30,1,$B6))*Supuestos!$B$8</f>
        <v>14.8</v>
      </c>
      <c r="I6" s="26">
        <f t="shared" si="2"/>
        <v>0</v>
      </c>
      <c r="J6" s="26">
        <f t="array" ref="J6">IF(A6&lt;Supuestos!$B$15,0,G6*INDEX(Supuestos!$B$31:$F$31,1,$B6)/12*INDEX(Supuestos!$B$32:$F$32,1,$B6))</f>
        <v>0</v>
      </c>
      <c r="K6" s="26">
        <f>J6*Supuestos!$B$16</f>
        <v>0</v>
      </c>
      <c r="L6" s="26">
        <f t="shared" si="3"/>
        <v>0</v>
      </c>
      <c r="M6" s="26">
        <f t="array" ref="M6">SUMPRODUCT((Plantilla!$D$5:$D$18&lt;=A6)*INDEX(Plantilla!$E$5:$I$18,0,B6))/12</f>
        <v>0</v>
      </c>
      <c r="N6" s="26">
        <f>M6*Supuestos!$B$17</f>
        <v>0</v>
      </c>
      <c r="O6" s="26">
        <f t="shared" si="4"/>
        <v>0</v>
      </c>
      <c r="P6" s="26">
        <f t="array" ref="P6">C6*INDEX(Supuestos!$B$33:$F$33,1,$B6)+INDEX(Supuestos!$B$34:$F$34,1,$B6)+L6*INDEX(Supuestos!$B$35:$F$35,1,$B6)+IF(AND(A6&gt;=4,A6&lt;=6),Supuestos!$B$20/3,0)</f>
        <v>1500</v>
      </c>
      <c r="Q6" s="26">
        <f t="array" ref="Q6">INDEX(Supuestos!$B$36:$F$36,1,$B6)</f>
        <v>150</v>
      </c>
      <c r="R6" s="26">
        <f>G6*Supuestos!$B$18</f>
        <v>0</v>
      </c>
      <c r="S6" s="26">
        <f>L6*Supuestos!$B$19</f>
        <v>0</v>
      </c>
      <c r="T6" s="26">
        <f t="array" ref="T6">INDEX(Supuestos!$B$37:$F$37,1,$B6)</f>
        <v>820</v>
      </c>
      <c r="U6" s="26">
        <f>SUMIF(Supuestos!$B$41:$B$43,A6,Supuestos!$C$41:$C$43)</f>
        <v>0</v>
      </c>
      <c r="V6" s="26">
        <f t="shared" si="5"/>
        <v>2470</v>
      </c>
      <c r="W6" s="26">
        <f t="shared" si="6"/>
        <v>-2470</v>
      </c>
      <c r="X6" s="26">
        <f>SUMIF(Supuestos!$B$45:$B$47,A6,Supuestos!$C$45:$C$47)</f>
        <v>0</v>
      </c>
      <c r="Y6" s="26">
        <f>SUMPRODUCT((Supuestos!$B$45:$B$47&lt;=A6)*(Supuestos!$B$45:$B$47+Supuestos!$B$21&gt;A6)*Supuestos!$C$45:$C$47)/Supuestos!$B$21</f>
        <v>166.66666666666666</v>
      </c>
      <c r="Z6" s="26">
        <f t="shared" si="7"/>
        <v>-2636.6666666666665</v>
      </c>
      <c r="AA6" s="26">
        <f>IF(A6&gt;=Supuestos!$B$52,(Supuestos!$B$51-SUM(AC$1:AC5))*Supuestos!$B$53/12,0)</f>
        <v>100</v>
      </c>
      <c r="AB6" s="26">
        <f t="shared" si="8"/>
        <v>-2736.6666666666665</v>
      </c>
      <c r="AC6" s="26">
        <f>IF(AND(A6&gt;Supuestos!$B$52+Supuestos!$B$54,A6&lt;=Supuestos!$B$52+Supuestos!$B$54+Supuestos!$B$55),Supuestos!$B$51/Supuestos!$B$55,0)</f>
        <v>0</v>
      </c>
      <c r="AD6" s="26">
        <f>IF(A6=1,Supuestos!$B$50,0)+IF(A6=Supuestos!$B$52,Supuestos!$B$51,0)+IF(A6=Supuestos!$B$57,Supuestos!$B$56,0)</f>
        <v>0</v>
      </c>
      <c r="AE6" s="26">
        <f t="array" ref="AE6">IF(AND(MOD(A6,12)=0,B6&gt;=2),INDEX(Anual!$B$32:$F$32,1,B6-1),0)</f>
        <v>0</v>
      </c>
      <c r="AF6" s="26">
        <f t="shared" si="10"/>
        <v>40650</v>
      </c>
      <c r="AG6" s="14">
        <f>COUNTIF(Plantilla!$D$5:$D$18,"&lt;="&amp;A6)</f>
        <v>0</v>
      </c>
      <c r="AH6" s="14">
        <f t="shared" si="9"/>
        <v>0</v>
      </c>
      <c r="AI6" s="26">
        <f t="array" ref="AI6">SUMPRODUCT((Plantilla!$D$5:$D$18&lt;=A6)*(Plantilla!$C$5:$C$18="Comercial")*INDEX(Plantilla!$E$5:$I$18,0,B6))/12*(1+Supuestos!$B$17)</f>
        <v>0</v>
      </c>
      <c r="AJ6" s="26">
        <f t="array" ref="AJ6">SUMPRODUCT((Plantilla!$D$5:$D$18&lt;=A6)*(Plantilla!$C$5:$C$18="Customer Success")*INDEX(Plantilla!$E$5:$I$18,0,B6))/12*(1+Supuestos!$B$17)</f>
        <v>0</v>
      </c>
    </row>
    <row r="7" spans="1:36" ht="15" customHeight="1" x14ac:dyDescent="0.35">
      <c r="A7" s="14">
        <v>6</v>
      </c>
      <c r="B7" s="14">
        <f t="shared" si="0"/>
        <v>1</v>
      </c>
      <c r="C7" s="18">
        <f t="array" ref="C7">IF(A7&lt;Supuestos!$B$13,0,INDEX(Supuestos!$B$27:$F$27,1,$B7)*Supuestos!$B$6)</f>
        <v>0</v>
      </c>
      <c r="D7" s="18">
        <f>IF(A7=Supuestos!$B$13,Supuestos!$B$14,0)</f>
        <v>0</v>
      </c>
      <c r="E7" s="18">
        <f>E6*(1-Supuestos!$B$7)+C7+D7</f>
        <v>0</v>
      </c>
      <c r="F7" s="18">
        <f t="array" ref="F7">INDEX(Supuestos!$B$28:$F$28,1,$B7)</f>
        <v>13</v>
      </c>
      <c r="G7" s="23">
        <f t="shared" si="1"/>
        <v>0</v>
      </c>
      <c r="H7" s="25">
        <f t="array" ref="H7">(Supuestos!$B$11*(1-INDEX(Supuestos!$B$29:$F$29,1,$B7))+Supuestos!$B$12*INDEX(Supuestos!$B$29:$F$29,1,$B7))*(1-INDEX(Supuestos!$B$30:$F$30,1,$B7))*Supuestos!$B$8</f>
        <v>14.8</v>
      </c>
      <c r="I7" s="26">
        <f t="shared" si="2"/>
        <v>0</v>
      </c>
      <c r="J7" s="26">
        <f t="array" ref="J7">IF(A7&lt;Supuestos!$B$15,0,G7*INDEX(Supuestos!$B$31:$F$31,1,$B7)/12*INDEX(Supuestos!$B$32:$F$32,1,$B7))</f>
        <v>0</v>
      </c>
      <c r="K7" s="26">
        <f>J7*Supuestos!$B$16</f>
        <v>0</v>
      </c>
      <c r="L7" s="26">
        <f t="shared" si="3"/>
        <v>0</v>
      </c>
      <c r="M7" s="26">
        <f t="array" ref="M7">SUMPRODUCT((Plantilla!$D$5:$D$18&lt;=A7)*INDEX(Plantilla!$E$5:$I$18,0,B7))/12</f>
        <v>0</v>
      </c>
      <c r="N7" s="26">
        <f>M7*Supuestos!$B$17</f>
        <v>0</v>
      </c>
      <c r="O7" s="26">
        <f t="shared" si="4"/>
        <v>0</v>
      </c>
      <c r="P7" s="26">
        <f t="array" ref="P7">C7*INDEX(Supuestos!$B$33:$F$33,1,$B7)+INDEX(Supuestos!$B$34:$F$34,1,$B7)+L7*INDEX(Supuestos!$B$35:$F$35,1,$B7)+IF(AND(A7&gt;=4,A7&lt;=6),Supuestos!$B$20/3,0)</f>
        <v>1500</v>
      </c>
      <c r="Q7" s="26">
        <f t="array" ref="Q7">INDEX(Supuestos!$B$36:$F$36,1,$B7)</f>
        <v>150</v>
      </c>
      <c r="R7" s="26">
        <f>G7*Supuestos!$B$18</f>
        <v>0</v>
      </c>
      <c r="S7" s="26">
        <f>L7*Supuestos!$B$19</f>
        <v>0</v>
      </c>
      <c r="T7" s="26">
        <f t="array" ref="T7">INDEX(Supuestos!$B$37:$F$37,1,$B7)</f>
        <v>820</v>
      </c>
      <c r="U7" s="26">
        <f>SUMIF(Supuestos!$B$41:$B$43,A7,Supuestos!$C$41:$C$43)</f>
        <v>0</v>
      </c>
      <c r="V7" s="26">
        <f t="shared" si="5"/>
        <v>2470</v>
      </c>
      <c r="W7" s="26">
        <f t="shared" si="6"/>
        <v>-2470</v>
      </c>
      <c r="X7" s="26">
        <f>SUMIF(Supuestos!$B$45:$B$47,A7,Supuestos!$C$45:$C$47)</f>
        <v>0</v>
      </c>
      <c r="Y7" s="26">
        <f>SUMPRODUCT((Supuestos!$B$45:$B$47&lt;=A7)*(Supuestos!$B$45:$B$47+Supuestos!$B$21&gt;A7)*Supuestos!$C$45:$C$47)/Supuestos!$B$21</f>
        <v>166.66666666666666</v>
      </c>
      <c r="Z7" s="26">
        <f t="shared" si="7"/>
        <v>-2636.6666666666665</v>
      </c>
      <c r="AA7" s="26">
        <f>IF(A7&gt;=Supuestos!$B$52,(Supuestos!$B$51-SUM(AC$1:AC6))*Supuestos!$B$53/12,0)</f>
        <v>100</v>
      </c>
      <c r="AB7" s="26">
        <f t="shared" si="8"/>
        <v>-2736.6666666666665</v>
      </c>
      <c r="AC7" s="26">
        <f>IF(AND(A7&gt;Supuestos!$B$52+Supuestos!$B$54,A7&lt;=Supuestos!$B$52+Supuestos!$B$54+Supuestos!$B$55),Supuestos!$B$51/Supuestos!$B$55,0)</f>
        <v>0</v>
      </c>
      <c r="AD7" s="26">
        <f>IF(A7=1,Supuestos!$B$50,0)+IF(A7=Supuestos!$B$52,Supuestos!$B$51,0)+IF(A7=Supuestos!$B$57,Supuestos!$B$56,0)</f>
        <v>0</v>
      </c>
      <c r="AE7" s="26">
        <f t="array" ref="AE7">IF(AND(MOD(A7,12)=0,B7&gt;=2),INDEX(Anual!$B$32:$F$32,1,B7-1),0)</f>
        <v>0</v>
      </c>
      <c r="AF7" s="26">
        <f t="shared" si="10"/>
        <v>38080</v>
      </c>
      <c r="AG7" s="14">
        <f>COUNTIF(Plantilla!$D$5:$D$18,"&lt;="&amp;A7)</f>
        <v>0</v>
      </c>
      <c r="AH7" s="14">
        <f t="shared" si="9"/>
        <v>0</v>
      </c>
      <c r="AI7" s="26">
        <f t="array" ref="AI7">SUMPRODUCT((Plantilla!$D$5:$D$18&lt;=A7)*(Plantilla!$C$5:$C$18="Comercial")*INDEX(Plantilla!$E$5:$I$18,0,B7))/12*(1+Supuestos!$B$17)</f>
        <v>0</v>
      </c>
      <c r="AJ7" s="26">
        <f t="array" ref="AJ7">SUMPRODUCT((Plantilla!$D$5:$D$18&lt;=A7)*(Plantilla!$C$5:$C$18="Customer Success")*INDEX(Plantilla!$E$5:$I$18,0,B7))/12*(1+Supuestos!$B$17)</f>
        <v>0</v>
      </c>
    </row>
    <row r="8" spans="1:36" ht="15" customHeight="1" x14ac:dyDescent="0.35">
      <c r="A8" s="14">
        <v>7</v>
      </c>
      <c r="B8" s="14">
        <f t="shared" si="0"/>
        <v>1</v>
      </c>
      <c r="C8" s="18">
        <f t="array" ref="C8">IF(A8&lt;Supuestos!$B$13,0,INDEX(Supuestos!$B$27:$F$27,1,$B8)*Supuestos!$B$6)</f>
        <v>2</v>
      </c>
      <c r="D8" s="18">
        <f>IF(A8=Supuestos!$B$13,Supuestos!$B$14,0)</f>
        <v>4</v>
      </c>
      <c r="E8" s="18">
        <f>E7*(1-Supuestos!$B$7)+C8+D8</f>
        <v>6</v>
      </c>
      <c r="F8" s="18">
        <f t="array" ref="F8">INDEX(Supuestos!$B$28:$F$28,1,$B8)</f>
        <v>13</v>
      </c>
      <c r="G8" s="23">
        <f t="shared" si="1"/>
        <v>78</v>
      </c>
      <c r="H8" s="25">
        <f t="array" ref="H8">(Supuestos!$B$11*(1-INDEX(Supuestos!$B$29:$F$29,1,$B8))+Supuestos!$B$12*INDEX(Supuestos!$B$29:$F$29,1,$B8))*(1-INDEX(Supuestos!$B$30:$F$30,1,$B8))*Supuestos!$B$8</f>
        <v>14.8</v>
      </c>
      <c r="I8" s="26">
        <f t="shared" si="2"/>
        <v>1154.4000000000001</v>
      </c>
      <c r="J8" s="26">
        <f t="array" ref="J8">IF(A8&lt;Supuestos!$B$15,0,G8*INDEX(Supuestos!$B$31:$F$31,1,$B8)/12*INDEX(Supuestos!$B$32:$F$32,1,$B8))</f>
        <v>0</v>
      </c>
      <c r="K8" s="26">
        <f>J8*Supuestos!$B$16</f>
        <v>0</v>
      </c>
      <c r="L8" s="26">
        <f t="shared" si="3"/>
        <v>1154.4000000000001</v>
      </c>
      <c r="M8" s="26">
        <f t="array" ref="M8">SUMPRODUCT((Plantilla!$D$5:$D$18&lt;=A8)*INDEX(Plantilla!$E$5:$I$18,0,B8))/12</f>
        <v>3600</v>
      </c>
      <c r="N8" s="26">
        <f>M8*Supuestos!$B$17</f>
        <v>1152</v>
      </c>
      <c r="O8" s="26">
        <f t="shared" si="4"/>
        <v>4752</v>
      </c>
      <c r="P8" s="26">
        <f t="array" ref="P8">C8*INDEX(Supuestos!$B$33:$F$33,1,$B8)+INDEX(Supuestos!$B$34:$F$34,1,$B8)+L8*INDEX(Supuestos!$B$35:$F$35,1,$B8)+IF(AND(A8&gt;=4,A8&lt;=6),Supuestos!$B$20/3,0)</f>
        <v>400</v>
      </c>
      <c r="Q8" s="26">
        <f t="array" ref="Q8">INDEX(Supuestos!$B$36:$F$36,1,$B8)</f>
        <v>150</v>
      </c>
      <c r="R8" s="26">
        <f>G8*Supuestos!$B$18</f>
        <v>7.8000000000000007</v>
      </c>
      <c r="S8" s="26">
        <f>L8*Supuestos!$B$19</f>
        <v>17.315999999999999</v>
      </c>
      <c r="T8" s="26">
        <f t="array" ref="T8">INDEX(Supuestos!$B$37:$F$37,1,$B8)</f>
        <v>820</v>
      </c>
      <c r="U8" s="26">
        <f>SUMIF(Supuestos!$B$41:$B$43,A8,Supuestos!$C$41:$C$43)</f>
        <v>0</v>
      </c>
      <c r="V8" s="26">
        <f t="shared" si="5"/>
        <v>6147.116</v>
      </c>
      <c r="W8" s="26">
        <f t="shared" si="6"/>
        <v>-4992.7160000000003</v>
      </c>
      <c r="X8" s="26">
        <f>SUMIF(Supuestos!$B$45:$B$47,A8,Supuestos!$C$45:$C$47)</f>
        <v>0</v>
      </c>
      <c r="Y8" s="26">
        <f>SUMPRODUCT((Supuestos!$B$45:$B$47&lt;=A8)*(Supuestos!$B$45:$B$47+Supuestos!$B$21&gt;A8)*Supuestos!$C$45:$C$47)/Supuestos!$B$21</f>
        <v>166.66666666666666</v>
      </c>
      <c r="Z8" s="26">
        <f t="shared" si="7"/>
        <v>-5159.3826666666673</v>
      </c>
      <c r="AA8" s="26">
        <f>IF(A8&gt;=Supuestos!$B$52,(Supuestos!$B$51-SUM(AC$1:AC7))*Supuestos!$B$53/12,0)</f>
        <v>100</v>
      </c>
      <c r="AB8" s="26">
        <f t="shared" si="8"/>
        <v>-5259.3826666666673</v>
      </c>
      <c r="AC8" s="26">
        <f>IF(AND(A8&gt;Supuestos!$B$52+Supuestos!$B$54,A8&lt;=Supuestos!$B$52+Supuestos!$B$54+Supuestos!$B$55),Supuestos!$B$51/Supuestos!$B$55,0)</f>
        <v>0</v>
      </c>
      <c r="AD8" s="26">
        <f>IF(A8=1,Supuestos!$B$50,0)+IF(A8=Supuestos!$B$52,Supuestos!$B$51,0)+IF(A8=Supuestos!$B$57,Supuestos!$B$56,0)</f>
        <v>0</v>
      </c>
      <c r="AE8" s="26">
        <f t="array" ref="AE8">IF(AND(MOD(A8,12)=0,B8&gt;=2),INDEX(Anual!$B$32:$F$32,1,B8-1),0)</f>
        <v>0</v>
      </c>
      <c r="AF8" s="26">
        <f t="shared" si="10"/>
        <v>32987.284</v>
      </c>
      <c r="AG8" s="14">
        <f>COUNTIF(Plantilla!$D$5:$D$18,"&lt;="&amp;A8)</f>
        <v>2</v>
      </c>
      <c r="AH8" s="14">
        <f t="shared" si="9"/>
        <v>0</v>
      </c>
      <c r="AI8" s="26">
        <f t="array" ref="AI8">SUMPRODUCT((Plantilla!$D$5:$D$18&lt;=A8)*(Plantilla!$C$5:$C$18="Comercial")*INDEX(Plantilla!$E$5:$I$18,0,B8))/12*(1+Supuestos!$B$17)</f>
        <v>2376</v>
      </c>
      <c r="AJ8" s="26">
        <f t="array" ref="AJ8">SUMPRODUCT((Plantilla!$D$5:$D$18&lt;=A8)*(Plantilla!$C$5:$C$18="Customer Success")*INDEX(Plantilla!$E$5:$I$18,0,B8))/12*(1+Supuestos!$B$17)</f>
        <v>0</v>
      </c>
    </row>
    <row r="9" spans="1:36" ht="15" customHeight="1" x14ac:dyDescent="0.35">
      <c r="A9" s="14">
        <v>8</v>
      </c>
      <c r="B9" s="14">
        <f t="shared" si="0"/>
        <v>1</v>
      </c>
      <c r="C9" s="18">
        <f t="array" ref="C9">IF(A9&lt;Supuestos!$B$13,0,INDEX(Supuestos!$B$27:$F$27,1,$B9)*Supuestos!$B$6)</f>
        <v>2</v>
      </c>
      <c r="D9" s="18">
        <f>IF(A9=Supuestos!$B$13,Supuestos!$B$14,0)</f>
        <v>0</v>
      </c>
      <c r="E9" s="18">
        <f>E8*(1-Supuestos!$B$7)+C9+D9</f>
        <v>7.88</v>
      </c>
      <c r="F9" s="18">
        <f t="array" ref="F9">INDEX(Supuestos!$B$28:$F$28,1,$B9)</f>
        <v>13</v>
      </c>
      <c r="G9" s="23">
        <f t="shared" si="1"/>
        <v>102.44</v>
      </c>
      <c r="H9" s="25">
        <f t="array" ref="H9">(Supuestos!$B$11*(1-INDEX(Supuestos!$B$29:$F$29,1,$B9))+Supuestos!$B$12*INDEX(Supuestos!$B$29:$F$29,1,$B9))*(1-INDEX(Supuestos!$B$30:$F$30,1,$B9))*Supuestos!$B$8</f>
        <v>14.8</v>
      </c>
      <c r="I9" s="26">
        <f t="shared" si="2"/>
        <v>1516.1120000000001</v>
      </c>
      <c r="J9" s="26">
        <f t="array" ref="J9">IF(A9&lt;Supuestos!$B$15,0,G9*INDEX(Supuestos!$B$31:$F$31,1,$B9)/12*INDEX(Supuestos!$B$32:$F$32,1,$B9))</f>
        <v>0</v>
      </c>
      <c r="K9" s="26">
        <f>J9*Supuestos!$B$16</f>
        <v>0</v>
      </c>
      <c r="L9" s="26">
        <f t="shared" si="3"/>
        <v>1516.1120000000001</v>
      </c>
      <c r="M9" s="26">
        <f t="array" ref="M9">SUMPRODUCT((Plantilla!$D$5:$D$18&lt;=A9)*INDEX(Plantilla!$E$5:$I$18,0,B9))/12</f>
        <v>3600</v>
      </c>
      <c r="N9" s="26">
        <f>M9*Supuestos!$B$17</f>
        <v>1152</v>
      </c>
      <c r="O9" s="26">
        <f t="shared" si="4"/>
        <v>4752</v>
      </c>
      <c r="P9" s="26">
        <f t="array" ref="P9">C9*INDEX(Supuestos!$B$33:$F$33,1,$B9)+INDEX(Supuestos!$B$34:$F$34,1,$B9)+L9*INDEX(Supuestos!$B$35:$F$35,1,$B9)+IF(AND(A9&gt;=4,A9&lt;=6),Supuestos!$B$20/3,0)</f>
        <v>400</v>
      </c>
      <c r="Q9" s="26">
        <f t="array" ref="Q9">INDEX(Supuestos!$B$36:$F$36,1,$B9)</f>
        <v>150</v>
      </c>
      <c r="R9" s="26">
        <f>G9*Supuestos!$B$18</f>
        <v>10.244</v>
      </c>
      <c r="S9" s="26">
        <f>L9*Supuestos!$B$19</f>
        <v>22.741679999999999</v>
      </c>
      <c r="T9" s="26">
        <f t="array" ref="T9">INDEX(Supuestos!$B$37:$F$37,1,$B9)</f>
        <v>820</v>
      </c>
      <c r="U9" s="26">
        <f>SUMIF(Supuestos!$B$41:$B$43,A9,Supuestos!$C$41:$C$43)</f>
        <v>0</v>
      </c>
      <c r="V9" s="26">
        <f t="shared" si="5"/>
        <v>6154.9856799999998</v>
      </c>
      <c r="W9" s="26">
        <f t="shared" si="6"/>
        <v>-4638.8736799999997</v>
      </c>
      <c r="X9" s="26">
        <f>SUMIF(Supuestos!$B$45:$B$47,A9,Supuestos!$C$45:$C$47)</f>
        <v>0</v>
      </c>
      <c r="Y9" s="26">
        <f>SUMPRODUCT((Supuestos!$B$45:$B$47&lt;=A9)*(Supuestos!$B$45:$B$47+Supuestos!$B$21&gt;A9)*Supuestos!$C$45:$C$47)/Supuestos!$B$21</f>
        <v>166.66666666666666</v>
      </c>
      <c r="Z9" s="26">
        <f t="shared" si="7"/>
        <v>-4805.5403466666667</v>
      </c>
      <c r="AA9" s="26">
        <f>IF(A9&gt;=Supuestos!$B$52,(Supuestos!$B$51-SUM(AC$1:AC8))*Supuestos!$B$53/12,0)</f>
        <v>100</v>
      </c>
      <c r="AB9" s="26">
        <f t="shared" si="8"/>
        <v>-4905.5403466666667</v>
      </c>
      <c r="AC9" s="26">
        <f>IF(AND(A9&gt;Supuestos!$B$52+Supuestos!$B$54,A9&lt;=Supuestos!$B$52+Supuestos!$B$54+Supuestos!$B$55),Supuestos!$B$51/Supuestos!$B$55,0)</f>
        <v>0</v>
      </c>
      <c r="AD9" s="26">
        <f>IF(A9=1,Supuestos!$B$50,0)+IF(A9=Supuestos!$B$52,Supuestos!$B$51,0)+IF(A9=Supuestos!$B$57,Supuestos!$B$56,0)</f>
        <v>0</v>
      </c>
      <c r="AE9" s="26">
        <f t="array" ref="AE9">IF(AND(MOD(A9,12)=0,B9&gt;=2),INDEX(Anual!$B$32:$F$32,1,B9-1),0)</f>
        <v>0</v>
      </c>
      <c r="AF9" s="26">
        <f t="shared" si="10"/>
        <v>28248.410320000003</v>
      </c>
      <c r="AG9" s="14">
        <f>COUNTIF(Plantilla!$D$5:$D$18,"&lt;="&amp;A9)</f>
        <v>2</v>
      </c>
      <c r="AH9" s="14">
        <f t="shared" si="9"/>
        <v>0</v>
      </c>
      <c r="AI9" s="26">
        <f t="array" ref="AI9">SUMPRODUCT((Plantilla!$D$5:$D$18&lt;=A9)*(Plantilla!$C$5:$C$18="Comercial")*INDEX(Plantilla!$E$5:$I$18,0,B9))/12*(1+Supuestos!$B$17)</f>
        <v>2376</v>
      </c>
      <c r="AJ9" s="26">
        <f t="array" ref="AJ9">SUMPRODUCT((Plantilla!$D$5:$D$18&lt;=A9)*(Plantilla!$C$5:$C$18="Customer Success")*INDEX(Plantilla!$E$5:$I$18,0,B9))/12*(1+Supuestos!$B$17)</f>
        <v>0</v>
      </c>
    </row>
    <row r="10" spans="1:36" ht="15" customHeight="1" x14ac:dyDescent="0.35">
      <c r="A10" s="14">
        <v>9</v>
      </c>
      <c r="B10" s="14">
        <f t="shared" si="0"/>
        <v>1</v>
      </c>
      <c r="C10" s="18">
        <f t="array" ref="C10">IF(A10&lt;Supuestos!$B$13,0,INDEX(Supuestos!$B$27:$F$27,1,$B10)*Supuestos!$B$6)</f>
        <v>2</v>
      </c>
      <c r="D10" s="18">
        <f>IF(A10=Supuestos!$B$13,Supuestos!$B$14,0)</f>
        <v>0</v>
      </c>
      <c r="E10" s="18">
        <f>E9*(1-Supuestos!$B$7)+C10+D10</f>
        <v>9.7224000000000004</v>
      </c>
      <c r="F10" s="18">
        <f t="array" ref="F10">INDEX(Supuestos!$B$28:$F$28,1,$B10)</f>
        <v>13</v>
      </c>
      <c r="G10" s="23">
        <f t="shared" si="1"/>
        <v>126.3912</v>
      </c>
      <c r="H10" s="25">
        <f t="array" ref="H10">(Supuestos!$B$11*(1-INDEX(Supuestos!$B$29:$F$29,1,$B10))+Supuestos!$B$12*INDEX(Supuestos!$B$29:$F$29,1,$B10))*(1-INDEX(Supuestos!$B$30:$F$30,1,$B10))*Supuestos!$B$8</f>
        <v>14.8</v>
      </c>
      <c r="I10" s="26">
        <f t="shared" si="2"/>
        <v>1870.5897600000001</v>
      </c>
      <c r="J10" s="26">
        <f t="array" ref="J10">IF(A10&lt;Supuestos!$B$15,0,G10*INDEX(Supuestos!$B$31:$F$31,1,$B10)/12*INDEX(Supuestos!$B$32:$F$32,1,$B10))</f>
        <v>0</v>
      </c>
      <c r="K10" s="26">
        <f>J10*Supuestos!$B$16</f>
        <v>0</v>
      </c>
      <c r="L10" s="26">
        <f t="shared" si="3"/>
        <v>1870.5897600000001</v>
      </c>
      <c r="M10" s="26">
        <f t="array" ref="M10">SUMPRODUCT((Plantilla!$D$5:$D$18&lt;=A10)*INDEX(Plantilla!$E$5:$I$18,0,B10))/12</f>
        <v>3600</v>
      </c>
      <c r="N10" s="26">
        <f>M10*Supuestos!$B$17</f>
        <v>1152</v>
      </c>
      <c r="O10" s="26">
        <f t="shared" si="4"/>
        <v>4752</v>
      </c>
      <c r="P10" s="26">
        <f t="array" ref="P10">C10*INDEX(Supuestos!$B$33:$F$33,1,$B10)+INDEX(Supuestos!$B$34:$F$34,1,$B10)+L10*INDEX(Supuestos!$B$35:$F$35,1,$B10)+IF(AND(A10&gt;=4,A10&lt;=6),Supuestos!$B$20/3,0)</f>
        <v>400</v>
      </c>
      <c r="Q10" s="26">
        <f t="array" ref="Q10">INDEX(Supuestos!$B$36:$F$36,1,$B10)</f>
        <v>150</v>
      </c>
      <c r="R10" s="26">
        <f>G10*Supuestos!$B$18</f>
        <v>12.63912</v>
      </c>
      <c r="S10" s="26">
        <f>L10*Supuestos!$B$19</f>
        <v>28.0588464</v>
      </c>
      <c r="T10" s="26">
        <f t="array" ref="T10">INDEX(Supuestos!$B$37:$F$37,1,$B10)</f>
        <v>820</v>
      </c>
      <c r="U10" s="26">
        <f>SUMIF(Supuestos!$B$41:$B$43,A10,Supuestos!$C$41:$C$43)</f>
        <v>0</v>
      </c>
      <c r="V10" s="26">
        <f t="shared" si="5"/>
        <v>6162.6979664</v>
      </c>
      <c r="W10" s="26">
        <f t="shared" si="6"/>
        <v>-4292.1082064000002</v>
      </c>
      <c r="X10" s="26">
        <f>SUMIF(Supuestos!$B$45:$B$47,A10,Supuestos!$C$45:$C$47)</f>
        <v>0</v>
      </c>
      <c r="Y10" s="26">
        <f>SUMPRODUCT((Supuestos!$B$45:$B$47&lt;=A10)*(Supuestos!$B$45:$B$47+Supuestos!$B$21&gt;A10)*Supuestos!$C$45:$C$47)/Supuestos!$B$21</f>
        <v>166.66666666666666</v>
      </c>
      <c r="Z10" s="26">
        <f t="shared" si="7"/>
        <v>-4458.7748730666672</v>
      </c>
      <c r="AA10" s="26">
        <f>IF(A10&gt;=Supuestos!$B$52,(Supuestos!$B$51-SUM(AC$1:AC9))*Supuestos!$B$53/12,0)</f>
        <v>100</v>
      </c>
      <c r="AB10" s="26">
        <f t="shared" si="8"/>
        <v>-4558.7748730666672</v>
      </c>
      <c r="AC10" s="26">
        <f>IF(AND(A10&gt;Supuestos!$B$52+Supuestos!$B$54,A10&lt;=Supuestos!$B$52+Supuestos!$B$54+Supuestos!$B$55),Supuestos!$B$51/Supuestos!$B$55,0)</f>
        <v>0</v>
      </c>
      <c r="AD10" s="26">
        <f>IF(A10=1,Supuestos!$B$50,0)+IF(A10=Supuestos!$B$52,Supuestos!$B$51,0)+IF(A10=Supuestos!$B$57,Supuestos!$B$56,0)</f>
        <v>0</v>
      </c>
      <c r="AE10" s="26">
        <f t="array" ref="AE10">IF(AND(MOD(A10,12)=0,B10&gt;=2),INDEX(Anual!$B$32:$F$32,1,B10-1),0)</f>
        <v>0</v>
      </c>
      <c r="AF10" s="26">
        <f t="shared" si="10"/>
        <v>23856.302113600002</v>
      </c>
      <c r="AG10" s="14">
        <f>COUNTIF(Plantilla!$D$5:$D$18,"&lt;="&amp;A10)</f>
        <v>2</v>
      </c>
      <c r="AH10" s="14">
        <f t="shared" si="9"/>
        <v>0</v>
      </c>
      <c r="AI10" s="26">
        <f t="array" ref="AI10">SUMPRODUCT((Plantilla!$D$5:$D$18&lt;=A10)*(Plantilla!$C$5:$C$18="Comercial")*INDEX(Plantilla!$E$5:$I$18,0,B10))/12*(1+Supuestos!$B$17)</f>
        <v>2376</v>
      </c>
      <c r="AJ10" s="26">
        <f t="array" ref="AJ10">SUMPRODUCT((Plantilla!$D$5:$D$18&lt;=A10)*(Plantilla!$C$5:$C$18="Customer Success")*INDEX(Plantilla!$E$5:$I$18,0,B10))/12*(1+Supuestos!$B$17)</f>
        <v>0</v>
      </c>
    </row>
    <row r="11" spans="1:36" ht="15" customHeight="1" x14ac:dyDescent="0.35">
      <c r="A11" s="14">
        <v>10</v>
      </c>
      <c r="B11" s="14">
        <f t="shared" si="0"/>
        <v>1</v>
      </c>
      <c r="C11" s="18">
        <f t="array" ref="C11">IF(A11&lt;Supuestos!$B$13,0,INDEX(Supuestos!$B$27:$F$27,1,$B11)*Supuestos!$B$6)</f>
        <v>2</v>
      </c>
      <c r="D11" s="18">
        <f>IF(A11=Supuestos!$B$13,Supuestos!$B$14,0)</f>
        <v>0</v>
      </c>
      <c r="E11" s="18">
        <f>E10*(1-Supuestos!$B$7)+C11+D11</f>
        <v>11.527952000000001</v>
      </c>
      <c r="F11" s="18">
        <f t="array" ref="F11">INDEX(Supuestos!$B$28:$F$28,1,$B11)</f>
        <v>13</v>
      </c>
      <c r="G11" s="23">
        <f t="shared" si="1"/>
        <v>149.86337600000002</v>
      </c>
      <c r="H11" s="25">
        <f t="array" ref="H11">(Supuestos!$B$11*(1-INDEX(Supuestos!$B$29:$F$29,1,$B11))+Supuestos!$B$12*INDEX(Supuestos!$B$29:$F$29,1,$B11))*(1-INDEX(Supuestos!$B$30:$F$30,1,$B11))*Supuestos!$B$8</f>
        <v>14.8</v>
      </c>
      <c r="I11" s="26">
        <f t="shared" si="2"/>
        <v>2217.9779648000003</v>
      </c>
      <c r="J11" s="26">
        <f t="array" ref="J11">IF(A11&lt;Supuestos!$B$15,0,G11*INDEX(Supuestos!$B$31:$F$31,1,$B11)/12*INDEX(Supuestos!$B$32:$F$32,1,$B11))</f>
        <v>0</v>
      </c>
      <c r="K11" s="26">
        <f>J11*Supuestos!$B$16</f>
        <v>0</v>
      </c>
      <c r="L11" s="26">
        <f t="shared" si="3"/>
        <v>2217.9779648000003</v>
      </c>
      <c r="M11" s="26">
        <f t="array" ref="M11">SUMPRODUCT((Plantilla!$D$5:$D$18&lt;=A11)*INDEX(Plantilla!$E$5:$I$18,0,B11))/12</f>
        <v>6100</v>
      </c>
      <c r="N11" s="26">
        <f>M11*Supuestos!$B$17</f>
        <v>1952</v>
      </c>
      <c r="O11" s="26">
        <f t="shared" si="4"/>
        <v>8052</v>
      </c>
      <c r="P11" s="26">
        <f t="array" ref="P11">C11*INDEX(Supuestos!$B$33:$F$33,1,$B11)+INDEX(Supuestos!$B$34:$F$34,1,$B11)+L11*INDEX(Supuestos!$B$35:$F$35,1,$B11)+IF(AND(A11&gt;=4,A11&lt;=6),Supuestos!$B$20/3,0)</f>
        <v>400</v>
      </c>
      <c r="Q11" s="26">
        <f t="array" ref="Q11">INDEX(Supuestos!$B$36:$F$36,1,$B11)</f>
        <v>150</v>
      </c>
      <c r="R11" s="26">
        <f>G11*Supuestos!$B$18</f>
        <v>14.986337600000002</v>
      </c>
      <c r="S11" s="26">
        <f>L11*Supuestos!$B$19</f>
        <v>33.269669472000004</v>
      </c>
      <c r="T11" s="26">
        <f t="array" ref="T11">INDEX(Supuestos!$B$37:$F$37,1,$B11)</f>
        <v>820</v>
      </c>
      <c r="U11" s="26">
        <f>SUMIF(Supuestos!$B$41:$B$43,A11,Supuestos!$C$41:$C$43)</f>
        <v>0</v>
      </c>
      <c r="V11" s="26">
        <f t="shared" si="5"/>
        <v>9470.2560070719992</v>
      </c>
      <c r="W11" s="26">
        <f t="shared" si="6"/>
        <v>-7252.2780422719989</v>
      </c>
      <c r="X11" s="26">
        <f>SUMIF(Supuestos!$B$45:$B$47,A11,Supuestos!$C$45:$C$47)</f>
        <v>0</v>
      </c>
      <c r="Y11" s="26">
        <f>SUMPRODUCT((Supuestos!$B$45:$B$47&lt;=A11)*(Supuestos!$B$45:$B$47+Supuestos!$B$21&gt;A11)*Supuestos!$C$45:$C$47)/Supuestos!$B$21</f>
        <v>166.66666666666666</v>
      </c>
      <c r="Z11" s="26">
        <f t="shared" si="7"/>
        <v>-7418.9447089386658</v>
      </c>
      <c r="AA11" s="26">
        <f>IF(A11&gt;=Supuestos!$B$52,(Supuestos!$B$51-SUM(AC$1:AC10))*Supuestos!$B$53/12,0)</f>
        <v>100</v>
      </c>
      <c r="AB11" s="26">
        <f t="shared" si="8"/>
        <v>-7518.9447089386658</v>
      </c>
      <c r="AC11" s="26">
        <f>IF(AND(A11&gt;Supuestos!$B$52+Supuestos!$B$54,A11&lt;=Supuestos!$B$52+Supuestos!$B$54+Supuestos!$B$55),Supuestos!$B$51/Supuestos!$B$55,0)</f>
        <v>0</v>
      </c>
      <c r="AD11" s="26">
        <f>IF(A11=1,Supuestos!$B$50,0)+IF(A11=Supuestos!$B$52,Supuestos!$B$51,0)+IF(A11=Supuestos!$B$57,Supuestos!$B$56,0)</f>
        <v>175000</v>
      </c>
      <c r="AE11" s="26">
        <f t="array" ref="AE11">IF(AND(MOD(A11,12)=0,B11&gt;=2),INDEX(Anual!$B$32:$F$32,1,B11-1),0)</f>
        <v>0</v>
      </c>
      <c r="AF11" s="26">
        <f t="shared" si="10"/>
        <v>191504.02407132799</v>
      </c>
      <c r="AG11" s="14">
        <f>COUNTIF(Plantilla!$D$5:$D$18,"&lt;="&amp;A11)</f>
        <v>3</v>
      </c>
      <c r="AH11" s="14">
        <f t="shared" si="9"/>
        <v>0</v>
      </c>
      <c r="AI11" s="26">
        <f t="array" ref="AI11">SUMPRODUCT((Plantilla!$D$5:$D$18&lt;=A11)*(Plantilla!$C$5:$C$18="Comercial")*INDEX(Plantilla!$E$5:$I$18,0,B11))/12*(1+Supuestos!$B$17)</f>
        <v>2376</v>
      </c>
      <c r="AJ11" s="26">
        <f t="array" ref="AJ11">SUMPRODUCT((Plantilla!$D$5:$D$18&lt;=A11)*(Plantilla!$C$5:$C$18="Customer Success")*INDEX(Plantilla!$E$5:$I$18,0,B11))/12*(1+Supuestos!$B$17)</f>
        <v>0</v>
      </c>
    </row>
    <row r="12" spans="1:36" ht="15" customHeight="1" x14ac:dyDescent="0.35">
      <c r="A12" s="14">
        <v>11</v>
      </c>
      <c r="B12" s="14">
        <f t="shared" si="0"/>
        <v>1</v>
      </c>
      <c r="C12" s="18">
        <f t="array" ref="C12">IF(A12&lt;Supuestos!$B$13,0,INDEX(Supuestos!$B$27:$F$27,1,$B12)*Supuestos!$B$6)</f>
        <v>2</v>
      </c>
      <c r="D12" s="18">
        <f>IF(A12=Supuestos!$B$13,Supuestos!$B$14,0)</f>
        <v>0</v>
      </c>
      <c r="E12" s="18">
        <f>E11*(1-Supuestos!$B$7)+C12+D12</f>
        <v>13.29739296</v>
      </c>
      <c r="F12" s="18">
        <f t="array" ref="F12">INDEX(Supuestos!$B$28:$F$28,1,$B12)</f>
        <v>13</v>
      </c>
      <c r="G12" s="23">
        <f t="shared" si="1"/>
        <v>172.86610848000001</v>
      </c>
      <c r="H12" s="25">
        <f t="array" ref="H12">(Supuestos!$B$11*(1-INDEX(Supuestos!$B$29:$F$29,1,$B12))+Supuestos!$B$12*INDEX(Supuestos!$B$29:$F$29,1,$B12))*(1-INDEX(Supuestos!$B$30:$F$30,1,$B12))*Supuestos!$B$8</f>
        <v>14.8</v>
      </c>
      <c r="I12" s="26">
        <f t="shared" si="2"/>
        <v>2558.418405504</v>
      </c>
      <c r="J12" s="26">
        <f t="array" ref="J12">IF(A12&lt;Supuestos!$B$15,0,G12*INDEX(Supuestos!$B$31:$F$31,1,$B12)/12*INDEX(Supuestos!$B$32:$F$32,1,$B12))</f>
        <v>0</v>
      </c>
      <c r="K12" s="26">
        <f>J12*Supuestos!$B$16</f>
        <v>0</v>
      </c>
      <c r="L12" s="26">
        <f t="shared" si="3"/>
        <v>2558.418405504</v>
      </c>
      <c r="M12" s="26">
        <f t="array" ref="M12">SUMPRODUCT((Plantilla!$D$5:$D$18&lt;=A12)*INDEX(Plantilla!$E$5:$I$18,0,B12))/12</f>
        <v>6100</v>
      </c>
      <c r="N12" s="26">
        <f>M12*Supuestos!$B$17</f>
        <v>1952</v>
      </c>
      <c r="O12" s="26">
        <f t="shared" si="4"/>
        <v>8052</v>
      </c>
      <c r="P12" s="26">
        <f t="array" ref="P12">C12*INDEX(Supuestos!$B$33:$F$33,1,$B12)+INDEX(Supuestos!$B$34:$F$34,1,$B12)+L12*INDEX(Supuestos!$B$35:$F$35,1,$B12)+IF(AND(A12&gt;=4,A12&lt;=6),Supuestos!$B$20/3,0)</f>
        <v>400</v>
      </c>
      <c r="Q12" s="26">
        <f t="array" ref="Q12">INDEX(Supuestos!$B$36:$F$36,1,$B12)</f>
        <v>150</v>
      </c>
      <c r="R12" s="26">
        <f>G12*Supuestos!$B$18</f>
        <v>17.286610848000002</v>
      </c>
      <c r="S12" s="26">
        <f>L12*Supuestos!$B$19</f>
        <v>38.376276082559997</v>
      </c>
      <c r="T12" s="26">
        <f t="array" ref="T12">INDEX(Supuestos!$B$37:$F$37,1,$B12)</f>
        <v>820</v>
      </c>
      <c r="U12" s="26">
        <f>SUMIF(Supuestos!$B$41:$B$43,A12,Supuestos!$C$41:$C$43)</f>
        <v>0</v>
      </c>
      <c r="V12" s="26">
        <f t="shared" si="5"/>
        <v>9477.6628869305587</v>
      </c>
      <c r="W12" s="26">
        <f t="shared" si="6"/>
        <v>-6919.2444814265582</v>
      </c>
      <c r="X12" s="26">
        <f>SUMIF(Supuestos!$B$45:$B$47,A12,Supuestos!$C$45:$C$47)</f>
        <v>0</v>
      </c>
      <c r="Y12" s="26">
        <f>SUMPRODUCT((Supuestos!$B$45:$B$47&lt;=A12)*(Supuestos!$B$45:$B$47+Supuestos!$B$21&gt;A12)*Supuestos!$C$45:$C$47)/Supuestos!$B$21</f>
        <v>166.66666666666666</v>
      </c>
      <c r="Z12" s="26">
        <f t="shared" si="7"/>
        <v>-7085.9111480932252</v>
      </c>
      <c r="AA12" s="26">
        <f>IF(A12&gt;=Supuestos!$B$52,(Supuestos!$B$51-SUM(AC$1:AC11))*Supuestos!$B$53/12,0)</f>
        <v>100</v>
      </c>
      <c r="AB12" s="26">
        <f t="shared" si="8"/>
        <v>-7185.9111480932252</v>
      </c>
      <c r="AC12" s="26">
        <f>IF(AND(A12&gt;Supuestos!$B$52+Supuestos!$B$54,A12&lt;=Supuestos!$B$52+Supuestos!$B$54+Supuestos!$B$55),Supuestos!$B$51/Supuestos!$B$55,0)</f>
        <v>0</v>
      </c>
      <c r="AD12" s="26">
        <f>IF(A12=1,Supuestos!$B$50,0)+IF(A12=Supuestos!$B$52,Supuestos!$B$51,0)+IF(A12=Supuestos!$B$57,Supuestos!$B$56,0)</f>
        <v>0</v>
      </c>
      <c r="AE12" s="26">
        <f t="array" ref="AE12">IF(AND(MOD(A12,12)=0,B12&gt;=2),INDEX(Anual!$B$32:$F$32,1,B12-1),0)</f>
        <v>0</v>
      </c>
      <c r="AF12" s="26">
        <f t="shared" si="10"/>
        <v>184484.77958990142</v>
      </c>
      <c r="AG12" s="14">
        <f>COUNTIF(Plantilla!$D$5:$D$18,"&lt;="&amp;A12)</f>
        <v>3</v>
      </c>
      <c r="AH12" s="14">
        <f t="shared" si="9"/>
        <v>0</v>
      </c>
      <c r="AI12" s="26">
        <f t="array" ref="AI12">SUMPRODUCT((Plantilla!$D$5:$D$18&lt;=A12)*(Plantilla!$C$5:$C$18="Comercial")*INDEX(Plantilla!$E$5:$I$18,0,B12))/12*(1+Supuestos!$B$17)</f>
        <v>2376</v>
      </c>
      <c r="AJ12" s="26">
        <f t="array" ref="AJ12">SUMPRODUCT((Plantilla!$D$5:$D$18&lt;=A12)*(Plantilla!$C$5:$C$18="Customer Success")*INDEX(Plantilla!$E$5:$I$18,0,B12))/12*(1+Supuestos!$B$17)</f>
        <v>0</v>
      </c>
    </row>
    <row r="13" spans="1:36" ht="15" customHeight="1" x14ac:dyDescent="0.35">
      <c r="A13" s="14">
        <v>12</v>
      </c>
      <c r="B13" s="14">
        <f t="shared" si="0"/>
        <v>1</v>
      </c>
      <c r="C13" s="18">
        <f t="array" ref="C13">IF(A13&lt;Supuestos!$B$13,0,INDEX(Supuestos!$B$27:$F$27,1,$B13)*Supuestos!$B$6)</f>
        <v>2</v>
      </c>
      <c r="D13" s="18">
        <f>IF(A13=Supuestos!$B$13,Supuestos!$B$14,0)</f>
        <v>0</v>
      </c>
      <c r="E13" s="18">
        <f>E12*(1-Supuestos!$B$7)+C13+D13</f>
        <v>15.031445100799999</v>
      </c>
      <c r="F13" s="18">
        <f t="array" ref="F13">INDEX(Supuestos!$B$28:$F$28,1,$B13)</f>
        <v>13</v>
      </c>
      <c r="G13" s="23">
        <f t="shared" si="1"/>
        <v>195.40878631039999</v>
      </c>
      <c r="H13" s="25">
        <f t="array" ref="H13">(Supuestos!$B$11*(1-INDEX(Supuestos!$B$29:$F$29,1,$B13))+Supuestos!$B$12*INDEX(Supuestos!$B$29:$F$29,1,$B13))*(1-INDEX(Supuestos!$B$30:$F$30,1,$B13))*Supuestos!$B$8</f>
        <v>14.8</v>
      </c>
      <c r="I13" s="26">
        <f t="shared" si="2"/>
        <v>2892.0500373939199</v>
      </c>
      <c r="J13" s="26">
        <f t="array" ref="J13">IF(A13&lt;Supuestos!$B$15,0,G13*INDEX(Supuestos!$B$31:$F$31,1,$B13)/12*INDEX(Supuestos!$B$32:$F$32,1,$B13))</f>
        <v>0</v>
      </c>
      <c r="K13" s="26">
        <f>J13*Supuestos!$B$16</f>
        <v>0</v>
      </c>
      <c r="L13" s="26">
        <f t="shared" si="3"/>
        <v>2892.0500373939199</v>
      </c>
      <c r="M13" s="26">
        <f t="array" ref="M13">SUMPRODUCT((Plantilla!$D$5:$D$18&lt;=A13)*INDEX(Plantilla!$E$5:$I$18,0,B13))/12</f>
        <v>6100</v>
      </c>
      <c r="N13" s="26">
        <f>M13*Supuestos!$B$17</f>
        <v>1952</v>
      </c>
      <c r="O13" s="26">
        <f t="shared" si="4"/>
        <v>8052</v>
      </c>
      <c r="P13" s="26">
        <f t="array" ref="P13">C13*INDEX(Supuestos!$B$33:$F$33,1,$B13)+INDEX(Supuestos!$B$34:$F$34,1,$B13)+L13*INDEX(Supuestos!$B$35:$F$35,1,$B13)+IF(AND(A13&gt;=4,A13&lt;=6),Supuestos!$B$20/3,0)</f>
        <v>400</v>
      </c>
      <c r="Q13" s="26">
        <f t="array" ref="Q13">INDEX(Supuestos!$B$36:$F$36,1,$B13)</f>
        <v>150</v>
      </c>
      <c r="R13" s="26">
        <f>G13*Supuestos!$B$18</f>
        <v>19.540878631040002</v>
      </c>
      <c r="S13" s="26">
        <f>L13*Supuestos!$B$19</f>
        <v>43.380750560908794</v>
      </c>
      <c r="T13" s="26">
        <f t="array" ref="T13">INDEX(Supuestos!$B$37:$F$37,1,$B13)</f>
        <v>820</v>
      </c>
      <c r="U13" s="26">
        <f>SUMIF(Supuestos!$B$41:$B$43,A13,Supuestos!$C$41:$C$43)</f>
        <v>0</v>
      </c>
      <c r="V13" s="26">
        <f t="shared" si="5"/>
        <v>9484.9216291919493</v>
      </c>
      <c r="W13" s="26">
        <f t="shared" si="6"/>
        <v>-6592.8715917980298</v>
      </c>
      <c r="X13" s="26">
        <f>SUMIF(Supuestos!$B$45:$B$47,A13,Supuestos!$C$45:$C$47)</f>
        <v>0</v>
      </c>
      <c r="Y13" s="26">
        <f>SUMPRODUCT((Supuestos!$B$45:$B$47&lt;=A13)*(Supuestos!$B$45:$B$47+Supuestos!$B$21&gt;A13)*Supuestos!$C$45:$C$47)/Supuestos!$B$21</f>
        <v>166.66666666666666</v>
      </c>
      <c r="Z13" s="26">
        <f t="shared" si="7"/>
        <v>-6759.5382584646968</v>
      </c>
      <c r="AA13" s="26">
        <f>IF(A13&gt;=Supuestos!$B$52,(Supuestos!$B$51-SUM(AC$1:AC12))*Supuestos!$B$53/12,0)</f>
        <v>100</v>
      </c>
      <c r="AB13" s="26">
        <f t="shared" si="8"/>
        <v>-6859.5382584646968</v>
      </c>
      <c r="AC13" s="26">
        <f>IF(AND(A13&gt;Supuestos!$B$52+Supuestos!$B$54,A13&lt;=Supuestos!$B$52+Supuestos!$B$54+Supuestos!$B$55),Supuestos!$B$51/Supuestos!$B$55,0)</f>
        <v>0</v>
      </c>
      <c r="AD13" s="26">
        <f>IF(A13=1,Supuestos!$B$50,0)+IF(A13=Supuestos!$B$52,Supuestos!$B$51,0)+IF(A13=Supuestos!$B$57,Supuestos!$B$56,0)</f>
        <v>0</v>
      </c>
      <c r="AE13" s="26">
        <f t="array" ref="AE13">IF(AND(MOD(A13,12)=0,B13&gt;=2),INDEX(Anual!$B$32:$F$32,1,B13-1),0)</f>
        <v>0</v>
      </c>
      <c r="AF13" s="26">
        <f t="shared" si="10"/>
        <v>177791.90799810339</v>
      </c>
      <c r="AG13" s="14">
        <f>COUNTIF(Plantilla!$D$5:$D$18,"&lt;="&amp;A13)</f>
        <v>3</v>
      </c>
      <c r="AH13" s="14">
        <f t="shared" si="9"/>
        <v>0</v>
      </c>
      <c r="AI13" s="26">
        <f t="array" ref="AI13">SUMPRODUCT((Plantilla!$D$5:$D$18&lt;=A13)*(Plantilla!$C$5:$C$18="Comercial")*INDEX(Plantilla!$E$5:$I$18,0,B13))/12*(1+Supuestos!$B$17)</f>
        <v>2376</v>
      </c>
      <c r="AJ13" s="26">
        <f t="array" ref="AJ13">SUMPRODUCT((Plantilla!$D$5:$D$18&lt;=A13)*(Plantilla!$C$5:$C$18="Customer Success")*INDEX(Plantilla!$E$5:$I$18,0,B13))/12*(1+Supuestos!$B$17)</f>
        <v>0</v>
      </c>
    </row>
    <row r="14" spans="1:36" ht="15" customHeight="1" x14ac:dyDescent="0.35">
      <c r="A14" s="14">
        <v>13</v>
      </c>
      <c r="B14" s="14">
        <f t="shared" si="0"/>
        <v>2</v>
      </c>
      <c r="C14" s="18">
        <f t="array" ref="C14">IF(A14&lt;Supuestos!$B$13,0,INDEX(Supuestos!$B$27:$F$27,1,$B14)*Supuestos!$B$6)</f>
        <v>4</v>
      </c>
      <c r="D14" s="18">
        <f>IF(A14=Supuestos!$B$13,Supuestos!$B$14,0)</f>
        <v>0</v>
      </c>
      <c r="E14" s="18">
        <f>E13*(1-Supuestos!$B$7)+C14+D14</f>
        <v>18.730816198783998</v>
      </c>
      <c r="F14" s="18">
        <f t="array" ref="F14">INDEX(Supuestos!$B$28:$F$28,1,$B14)</f>
        <v>16</v>
      </c>
      <c r="G14" s="23">
        <f t="shared" si="1"/>
        <v>299.69305918054397</v>
      </c>
      <c r="H14" s="25">
        <f t="array" ref="H14">(Supuestos!$B$11*(1-INDEX(Supuestos!$B$29:$F$29,1,$B14))+Supuestos!$B$12*INDEX(Supuestos!$B$29:$F$29,1,$B14))*(1-INDEX(Supuestos!$B$30:$F$30,1,$B14))*Supuestos!$B$8</f>
        <v>17.28</v>
      </c>
      <c r="I14" s="26">
        <f t="shared" si="2"/>
        <v>5178.6960626398004</v>
      </c>
      <c r="J14" s="26">
        <f t="array" ref="J14">IF(A14&lt;Supuestos!$B$15,0,G14*INDEX(Supuestos!$B$31:$F$31,1,$B14)/12*INDEX(Supuestos!$B$32:$F$32,1,$B14))</f>
        <v>749.23264795135992</v>
      </c>
      <c r="K14" s="26">
        <f>J14*Supuestos!$B$16</f>
        <v>149.84652959027198</v>
      </c>
      <c r="L14" s="26">
        <f t="shared" si="3"/>
        <v>5328.5425922300728</v>
      </c>
      <c r="M14" s="26">
        <f t="array" ref="M14">SUMPRODUCT((Plantilla!$D$5:$D$18&lt;=A14)*INDEX(Plantilla!$E$5:$I$18,0,B14))/12</f>
        <v>10750</v>
      </c>
      <c r="N14" s="26">
        <f>M14*Supuestos!$B$17</f>
        <v>3440</v>
      </c>
      <c r="O14" s="26">
        <f t="shared" si="4"/>
        <v>14190</v>
      </c>
      <c r="P14" s="26">
        <f t="array" ref="P14">C14*INDEX(Supuestos!$B$33:$F$33,1,$B14)+INDEX(Supuestos!$B$34:$F$34,1,$B14)+L14*INDEX(Supuestos!$B$35:$F$35,1,$B14)+IF(AND(A14&gt;=4,A14&lt;=6),Supuestos!$B$20/3,0)</f>
        <v>1600</v>
      </c>
      <c r="Q14" s="26">
        <f t="array" ref="Q14">INDEX(Supuestos!$B$36:$F$36,1,$B14)</f>
        <v>400</v>
      </c>
      <c r="R14" s="26">
        <f>G14*Supuestos!$B$18</f>
        <v>29.969305918054399</v>
      </c>
      <c r="S14" s="26">
        <f>L14*Supuestos!$B$19</f>
        <v>79.928138883451084</v>
      </c>
      <c r="T14" s="26">
        <f t="array" ref="T14">INDEX(Supuestos!$B$37:$F$37,1,$B14)</f>
        <v>920</v>
      </c>
      <c r="U14" s="26">
        <f>SUMIF(Supuestos!$B$41:$B$43,A14,Supuestos!$C$41:$C$43)</f>
        <v>2000</v>
      </c>
      <c r="V14" s="26">
        <f t="shared" si="5"/>
        <v>19219.897444801507</v>
      </c>
      <c r="W14" s="26">
        <f t="shared" si="6"/>
        <v>-13891.354852571434</v>
      </c>
      <c r="X14" s="26">
        <f>SUMIF(Supuestos!$B$45:$B$47,A14,Supuestos!$C$45:$C$47)</f>
        <v>0</v>
      </c>
      <c r="Y14" s="26">
        <f>SUMPRODUCT((Supuestos!$B$45:$B$47&lt;=A14)*(Supuestos!$B$45:$B$47+Supuestos!$B$21&gt;A14)*Supuestos!$C$45:$C$47)/Supuestos!$B$21</f>
        <v>166.66666666666666</v>
      </c>
      <c r="Z14" s="26">
        <f t="shared" si="7"/>
        <v>-14058.0215192381</v>
      </c>
      <c r="AA14" s="26">
        <f>IF(A14&gt;=Supuestos!$B$52,(Supuestos!$B$51-SUM(AC$1:AC13))*Supuestos!$B$53/12,0)</f>
        <v>100</v>
      </c>
      <c r="AB14" s="26">
        <f t="shared" si="8"/>
        <v>-14158.0215192381</v>
      </c>
      <c r="AC14" s="26">
        <f>IF(AND(A14&gt;Supuestos!$B$52+Supuestos!$B$54,A14&lt;=Supuestos!$B$52+Supuestos!$B$54+Supuestos!$B$55),Supuestos!$B$51/Supuestos!$B$55,0)</f>
        <v>0</v>
      </c>
      <c r="AD14" s="26">
        <f>IF(A14=1,Supuestos!$B$50,0)+IF(A14=Supuestos!$B$52,Supuestos!$B$51,0)+IF(A14=Supuestos!$B$57,Supuestos!$B$56,0)</f>
        <v>0</v>
      </c>
      <c r="AE14" s="26">
        <f t="array" ref="AE14">IF(AND(MOD(A14,12)=0,B14&gt;=2),INDEX(Anual!$B$32:$F$32,1,B14-1),0)</f>
        <v>0</v>
      </c>
      <c r="AF14" s="26">
        <f t="shared" si="10"/>
        <v>163800.55314553197</v>
      </c>
      <c r="AG14" s="14">
        <f>COUNTIF(Plantilla!$D$5:$D$18,"&lt;="&amp;A14)</f>
        <v>5</v>
      </c>
      <c r="AH14" s="14">
        <f t="shared" si="9"/>
        <v>0</v>
      </c>
      <c r="AI14" s="26">
        <f t="array" ref="AI14">SUMPRODUCT((Plantilla!$D$5:$D$18&lt;=A14)*(Plantilla!$C$5:$C$18="Comercial")*INDEX(Plantilla!$E$5:$I$18,0,B14))/12*(1+Supuestos!$B$17)</f>
        <v>5500.0000000000009</v>
      </c>
      <c r="AJ14" s="26">
        <f t="array" ref="AJ14">SUMPRODUCT((Plantilla!$D$5:$D$18&lt;=A14)*(Plantilla!$C$5:$C$18="Customer Success")*INDEX(Plantilla!$E$5:$I$18,0,B14))/12*(1+Supuestos!$B$17)</f>
        <v>2640</v>
      </c>
    </row>
    <row r="15" spans="1:36" ht="15" customHeight="1" x14ac:dyDescent="0.35">
      <c r="A15" s="14">
        <v>14</v>
      </c>
      <c r="B15" s="14">
        <f t="shared" si="0"/>
        <v>2</v>
      </c>
      <c r="C15" s="18">
        <f t="array" ref="C15">IF(A15&lt;Supuestos!$B$13,0,INDEX(Supuestos!$B$27:$F$27,1,$B15)*Supuestos!$B$6)</f>
        <v>4</v>
      </c>
      <c r="D15" s="18">
        <f>IF(A15=Supuestos!$B$13,Supuestos!$B$14,0)</f>
        <v>0</v>
      </c>
      <c r="E15" s="18">
        <f>E14*(1-Supuestos!$B$7)+C15+D15</f>
        <v>22.356199874808318</v>
      </c>
      <c r="F15" s="18">
        <f t="array" ref="F15">INDEX(Supuestos!$B$28:$F$28,1,$B15)</f>
        <v>16</v>
      </c>
      <c r="G15" s="23">
        <f t="shared" si="1"/>
        <v>357.69919799693309</v>
      </c>
      <c r="H15" s="25">
        <f t="array" ref="H15">(Supuestos!$B$11*(1-INDEX(Supuestos!$B$29:$F$29,1,$B15))+Supuestos!$B$12*INDEX(Supuestos!$B$29:$F$29,1,$B15))*(1-INDEX(Supuestos!$B$30:$F$30,1,$B15))*Supuestos!$B$8</f>
        <v>17.28</v>
      </c>
      <c r="I15" s="26">
        <f t="shared" si="2"/>
        <v>6181.0421413870044</v>
      </c>
      <c r="J15" s="26">
        <f t="array" ref="J15">IF(A15&lt;Supuestos!$B$15,0,G15*INDEX(Supuestos!$B$31:$F$31,1,$B15)/12*INDEX(Supuestos!$B$32:$F$32,1,$B15))</f>
        <v>894.24799499233268</v>
      </c>
      <c r="K15" s="26">
        <f>J15*Supuestos!$B$16</f>
        <v>178.84959899846655</v>
      </c>
      <c r="L15" s="26">
        <f t="shared" si="3"/>
        <v>6359.8917403854712</v>
      </c>
      <c r="M15" s="26">
        <f t="array" ref="M15">SUMPRODUCT((Plantilla!$D$5:$D$18&lt;=A15)*INDEX(Plantilla!$E$5:$I$18,0,B15))/12</f>
        <v>10750</v>
      </c>
      <c r="N15" s="26">
        <f>M15*Supuestos!$B$17</f>
        <v>3440</v>
      </c>
      <c r="O15" s="26">
        <f t="shared" si="4"/>
        <v>14190</v>
      </c>
      <c r="P15" s="26">
        <f t="array" ref="P15">C15*INDEX(Supuestos!$B$33:$F$33,1,$B15)+INDEX(Supuestos!$B$34:$F$34,1,$B15)+L15*INDEX(Supuestos!$B$35:$F$35,1,$B15)+IF(AND(A15&gt;=4,A15&lt;=6),Supuestos!$B$20/3,0)</f>
        <v>1600</v>
      </c>
      <c r="Q15" s="26">
        <f t="array" ref="Q15">INDEX(Supuestos!$B$36:$F$36,1,$B15)</f>
        <v>400</v>
      </c>
      <c r="R15" s="26">
        <f>G15*Supuestos!$B$18</f>
        <v>35.769919799693312</v>
      </c>
      <c r="S15" s="26">
        <f>L15*Supuestos!$B$19</f>
        <v>95.398376105782063</v>
      </c>
      <c r="T15" s="26">
        <f t="array" ref="T15">INDEX(Supuestos!$B$37:$F$37,1,$B15)</f>
        <v>920</v>
      </c>
      <c r="U15" s="26">
        <f>SUMIF(Supuestos!$B$41:$B$43,A15,Supuestos!$C$41:$C$43)</f>
        <v>0</v>
      </c>
      <c r="V15" s="26">
        <f t="shared" si="5"/>
        <v>17241.168295905474</v>
      </c>
      <c r="W15" s="26">
        <f t="shared" si="6"/>
        <v>-10881.276555520002</v>
      </c>
      <c r="X15" s="26">
        <f>SUMIF(Supuestos!$B$45:$B$47,A15,Supuestos!$C$45:$C$47)</f>
        <v>0</v>
      </c>
      <c r="Y15" s="26">
        <f>SUMPRODUCT((Supuestos!$B$45:$B$47&lt;=A15)*(Supuestos!$B$45:$B$47+Supuestos!$B$21&gt;A15)*Supuestos!$C$45:$C$47)/Supuestos!$B$21</f>
        <v>166.66666666666666</v>
      </c>
      <c r="Z15" s="26">
        <f t="shared" si="7"/>
        <v>-11047.943222186668</v>
      </c>
      <c r="AA15" s="26">
        <f>IF(A15&gt;=Supuestos!$B$52,(Supuestos!$B$51-SUM(AC$1:AC14))*Supuestos!$B$53/12,0)</f>
        <v>100</v>
      </c>
      <c r="AB15" s="26">
        <f t="shared" si="8"/>
        <v>-11147.943222186668</v>
      </c>
      <c r="AC15" s="26">
        <f>IF(AND(A15&gt;Supuestos!$B$52+Supuestos!$B$54,A15&lt;=Supuestos!$B$52+Supuestos!$B$54+Supuestos!$B$55),Supuestos!$B$51/Supuestos!$B$55,0)</f>
        <v>0</v>
      </c>
      <c r="AD15" s="26">
        <f>IF(A15=1,Supuestos!$B$50,0)+IF(A15=Supuestos!$B$52,Supuestos!$B$51,0)+IF(A15=Supuestos!$B$57,Supuestos!$B$56,0)</f>
        <v>0</v>
      </c>
      <c r="AE15" s="26">
        <f t="array" ref="AE15">IF(AND(MOD(A15,12)=0,B15&gt;=2),INDEX(Anual!$B$32:$F$32,1,B15-1),0)</f>
        <v>0</v>
      </c>
      <c r="AF15" s="26">
        <f t="shared" si="10"/>
        <v>152819.27659001196</v>
      </c>
      <c r="AG15" s="14">
        <f>COUNTIF(Plantilla!$D$5:$D$18,"&lt;="&amp;A15)</f>
        <v>5</v>
      </c>
      <c r="AH15" s="14">
        <f t="shared" si="9"/>
        <v>0</v>
      </c>
      <c r="AI15" s="26">
        <f t="array" ref="AI15">SUMPRODUCT((Plantilla!$D$5:$D$18&lt;=A15)*(Plantilla!$C$5:$C$18="Comercial")*INDEX(Plantilla!$E$5:$I$18,0,B15))/12*(1+Supuestos!$B$17)</f>
        <v>5500.0000000000009</v>
      </c>
      <c r="AJ15" s="26">
        <f t="array" ref="AJ15">SUMPRODUCT((Plantilla!$D$5:$D$18&lt;=A15)*(Plantilla!$C$5:$C$18="Customer Success")*INDEX(Plantilla!$E$5:$I$18,0,B15))/12*(1+Supuestos!$B$17)</f>
        <v>2640</v>
      </c>
    </row>
    <row r="16" spans="1:36" ht="15" customHeight="1" x14ac:dyDescent="0.35">
      <c r="A16" s="14">
        <v>15</v>
      </c>
      <c r="B16" s="14">
        <f t="shared" si="0"/>
        <v>2</v>
      </c>
      <c r="C16" s="18">
        <f t="array" ref="C16">IF(A16&lt;Supuestos!$B$13,0,INDEX(Supuestos!$B$27:$F$27,1,$B16)*Supuestos!$B$6)</f>
        <v>4</v>
      </c>
      <c r="D16" s="18">
        <f>IF(A16=Supuestos!$B$13,Supuestos!$B$14,0)</f>
        <v>0</v>
      </c>
      <c r="E16" s="18">
        <f>E15*(1-Supuestos!$B$7)+C16+D16</f>
        <v>25.909075877312151</v>
      </c>
      <c r="F16" s="18">
        <f t="array" ref="F16">INDEX(Supuestos!$B$28:$F$28,1,$B16)</f>
        <v>16</v>
      </c>
      <c r="G16" s="23">
        <f t="shared" si="1"/>
        <v>414.54521403699442</v>
      </c>
      <c r="H16" s="25">
        <f t="array" ref="H16">(Supuestos!$B$11*(1-INDEX(Supuestos!$B$29:$F$29,1,$B16))+Supuestos!$B$12*INDEX(Supuestos!$B$29:$F$29,1,$B16))*(1-INDEX(Supuestos!$B$30:$F$30,1,$B16))*Supuestos!$B$8</f>
        <v>17.28</v>
      </c>
      <c r="I16" s="26">
        <f t="shared" si="2"/>
        <v>7163.341298559264</v>
      </c>
      <c r="J16" s="26">
        <f t="array" ref="J16">IF(A16&lt;Supuestos!$B$15,0,G16*INDEX(Supuestos!$B$31:$F$31,1,$B16)/12*INDEX(Supuestos!$B$32:$F$32,1,$B16))</f>
        <v>1036.3630350924861</v>
      </c>
      <c r="K16" s="26">
        <f>J16*Supuestos!$B$16</f>
        <v>207.27260701849724</v>
      </c>
      <c r="L16" s="26">
        <f t="shared" si="3"/>
        <v>7370.6139055777612</v>
      </c>
      <c r="M16" s="26">
        <f t="array" ref="M16">SUMPRODUCT((Plantilla!$D$5:$D$18&lt;=A16)*INDEX(Plantilla!$E$5:$I$18,0,B16))/12</f>
        <v>10750</v>
      </c>
      <c r="N16" s="26">
        <f>M16*Supuestos!$B$17</f>
        <v>3440</v>
      </c>
      <c r="O16" s="26">
        <f t="shared" si="4"/>
        <v>14190</v>
      </c>
      <c r="P16" s="26">
        <f t="array" ref="P16">C16*INDEX(Supuestos!$B$33:$F$33,1,$B16)+INDEX(Supuestos!$B$34:$F$34,1,$B16)+L16*INDEX(Supuestos!$B$35:$F$35,1,$B16)+IF(AND(A16&gt;=4,A16&lt;=6),Supuestos!$B$20/3,0)</f>
        <v>1600</v>
      </c>
      <c r="Q16" s="26">
        <f t="array" ref="Q16">INDEX(Supuestos!$B$36:$F$36,1,$B16)</f>
        <v>400</v>
      </c>
      <c r="R16" s="26">
        <f>G16*Supuestos!$B$18</f>
        <v>41.454521403699445</v>
      </c>
      <c r="S16" s="26">
        <f>L16*Supuestos!$B$19</f>
        <v>110.55920858366642</v>
      </c>
      <c r="T16" s="26">
        <f t="array" ref="T16">INDEX(Supuestos!$B$37:$F$37,1,$B16)</f>
        <v>920</v>
      </c>
      <c r="U16" s="26">
        <f>SUMIF(Supuestos!$B$41:$B$43,A16,Supuestos!$C$41:$C$43)</f>
        <v>0</v>
      </c>
      <c r="V16" s="26">
        <f t="shared" si="5"/>
        <v>17262.013729987368</v>
      </c>
      <c r="W16" s="26">
        <f t="shared" si="6"/>
        <v>-9891.3998244096074</v>
      </c>
      <c r="X16" s="26">
        <f>SUMIF(Supuestos!$B$45:$B$47,A16,Supuestos!$C$45:$C$47)</f>
        <v>0</v>
      </c>
      <c r="Y16" s="26">
        <f>SUMPRODUCT((Supuestos!$B$45:$B$47&lt;=A16)*(Supuestos!$B$45:$B$47+Supuestos!$B$21&gt;A16)*Supuestos!$C$45:$C$47)/Supuestos!$B$21</f>
        <v>166.66666666666666</v>
      </c>
      <c r="Z16" s="26">
        <f t="shared" si="7"/>
        <v>-10058.066491076273</v>
      </c>
      <c r="AA16" s="26">
        <f>IF(A16&gt;=Supuestos!$B$52,(Supuestos!$B$51-SUM(AC$1:AC15))*Supuestos!$B$53/12,0)</f>
        <v>100</v>
      </c>
      <c r="AB16" s="26">
        <f t="shared" si="8"/>
        <v>-10158.066491076273</v>
      </c>
      <c r="AC16" s="26">
        <f>IF(AND(A16&gt;Supuestos!$B$52+Supuestos!$B$54,A16&lt;=Supuestos!$B$52+Supuestos!$B$54+Supuestos!$B$55),Supuestos!$B$51/Supuestos!$B$55,0)</f>
        <v>0</v>
      </c>
      <c r="AD16" s="26">
        <f>IF(A16=1,Supuestos!$B$50,0)+IF(A16=Supuestos!$B$52,Supuestos!$B$51,0)+IF(A16=Supuestos!$B$57,Supuestos!$B$56,0)</f>
        <v>0</v>
      </c>
      <c r="AE16" s="26">
        <f t="array" ref="AE16">IF(AND(MOD(A16,12)=0,B16&gt;=2),INDEX(Anual!$B$32:$F$32,1,B16-1),0)</f>
        <v>0</v>
      </c>
      <c r="AF16" s="26">
        <f t="shared" si="10"/>
        <v>142827.87676560236</v>
      </c>
      <c r="AG16" s="14">
        <f>COUNTIF(Plantilla!$D$5:$D$18,"&lt;="&amp;A16)</f>
        <v>5</v>
      </c>
      <c r="AH16" s="14">
        <f t="shared" si="9"/>
        <v>0</v>
      </c>
      <c r="AI16" s="26">
        <f t="array" ref="AI16">SUMPRODUCT((Plantilla!$D$5:$D$18&lt;=A16)*(Plantilla!$C$5:$C$18="Comercial")*INDEX(Plantilla!$E$5:$I$18,0,B16))/12*(1+Supuestos!$B$17)</f>
        <v>5500.0000000000009</v>
      </c>
      <c r="AJ16" s="26">
        <f t="array" ref="AJ16">SUMPRODUCT((Plantilla!$D$5:$D$18&lt;=A16)*(Plantilla!$C$5:$C$18="Customer Success")*INDEX(Plantilla!$E$5:$I$18,0,B16))/12*(1+Supuestos!$B$17)</f>
        <v>2640</v>
      </c>
    </row>
    <row r="17" spans="1:36" ht="15" customHeight="1" x14ac:dyDescent="0.35">
      <c r="A17" s="14">
        <v>16</v>
      </c>
      <c r="B17" s="14">
        <f t="shared" si="0"/>
        <v>2</v>
      </c>
      <c r="C17" s="18">
        <f t="array" ref="C17">IF(A17&lt;Supuestos!$B$13,0,INDEX(Supuestos!$B$27:$F$27,1,$B17)*Supuestos!$B$6)</f>
        <v>4</v>
      </c>
      <c r="D17" s="18">
        <f>IF(A17=Supuestos!$B$13,Supuestos!$B$14,0)</f>
        <v>0</v>
      </c>
      <c r="E17" s="18">
        <f>E16*(1-Supuestos!$B$7)+C17+D17</f>
        <v>29.390894359765909</v>
      </c>
      <c r="F17" s="18">
        <f t="array" ref="F17">INDEX(Supuestos!$B$28:$F$28,1,$B17)</f>
        <v>16</v>
      </c>
      <c r="G17" s="23">
        <f t="shared" si="1"/>
        <v>470.25430975625454</v>
      </c>
      <c r="H17" s="25">
        <f t="array" ref="H17">(Supuestos!$B$11*(1-INDEX(Supuestos!$B$29:$F$29,1,$B17))+Supuestos!$B$12*INDEX(Supuestos!$B$29:$F$29,1,$B17))*(1-INDEX(Supuestos!$B$30:$F$30,1,$B17))*Supuestos!$B$8</f>
        <v>17.28</v>
      </c>
      <c r="I17" s="26">
        <f t="shared" si="2"/>
        <v>8125.9944725880787</v>
      </c>
      <c r="J17" s="26">
        <f t="array" ref="J17">IF(A17&lt;Supuestos!$B$15,0,G17*INDEX(Supuestos!$B$31:$F$31,1,$B17)/12*INDEX(Supuestos!$B$32:$F$32,1,$B17))</f>
        <v>1175.6357743906362</v>
      </c>
      <c r="K17" s="26">
        <f>J17*Supuestos!$B$16</f>
        <v>235.12715487812727</v>
      </c>
      <c r="L17" s="26">
        <f t="shared" si="3"/>
        <v>8361.1216274662056</v>
      </c>
      <c r="M17" s="26">
        <f t="array" ref="M17">SUMPRODUCT((Plantilla!$D$5:$D$18&lt;=A17)*INDEX(Plantilla!$E$5:$I$18,0,B17))/12</f>
        <v>12583.333333333334</v>
      </c>
      <c r="N17" s="26">
        <f>M17*Supuestos!$B$17</f>
        <v>4026.666666666667</v>
      </c>
      <c r="O17" s="26">
        <f t="shared" si="4"/>
        <v>16610</v>
      </c>
      <c r="P17" s="26">
        <f t="array" ref="P17">C17*INDEX(Supuestos!$B$33:$F$33,1,$B17)+INDEX(Supuestos!$B$34:$F$34,1,$B17)+L17*INDEX(Supuestos!$B$35:$F$35,1,$B17)+IF(AND(A17&gt;=4,A17&lt;=6),Supuestos!$B$20/3,0)</f>
        <v>1600</v>
      </c>
      <c r="Q17" s="26">
        <f t="array" ref="Q17">INDEX(Supuestos!$B$36:$F$36,1,$B17)</f>
        <v>400</v>
      </c>
      <c r="R17" s="26">
        <f>G17*Supuestos!$B$18</f>
        <v>47.025430975625454</v>
      </c>
      <c r="S17" s="26">
        <f>L17*Supuestos!$B$19</f>
        <v>125.41682441199308</v>
      </c>
      <c r="T17" s="26">
        <f t="array" ref="T17">INDEX(Supuestos!$B$37:$F$37,1,$B17)</f>
        <v>920</v>
      </c>
      <c r="U17" s="26">
        <f>SUMIF(Supuestos!$B$41:$B$43,A17,Supuestos!$C$41:$C$43)</f>
        <v>0</v>
      </c>
      <c r="V17" s="26">
        <f t="shared" si="5"/>
        <v>19702.442255387617</v>
      </c>
      <c r="W17" s="26">
        <f t="shared" si="6"/>
        <v>-11341.320627921412</v>
      </c>
      <c r="X17" s="26">
        <f>SUMIF(Supuestos!$B$45:$B$47,A17,Supuestos!$C$45:$C$47)</f>
        <v>0</v>
      </c>
      <c r="Y17" s="26">
        <f>SUMPRODUCT((Supuestos!$B$45:$B$47&lt;=A17)*(Supuestos!$B$45:$B$47+Supuestos!$B$21&gt;A17)*Supuestos!$C$45:$C$47)/Supuestos!$B$21</f>
        <v>166.66666666666666</v>
      </c>
      <c r="Z17" s="26">
        <f t="shared" si="7"/>
        <v>-11507.987294588078</v>
      </c>
      <c r="AA17" s="26">
        <f>IF(A17&gt;=Supuestos!$B$52,(Supuestos!$B$51-SUM(AC$1:AC16))*Supuestos!$B$53/12,0)</f>
        <v>100</v>
      </c>
      <c r="AB17" s="26">
        <f t="shared" si="8"/>
        <v>-11607.987294588078</v>
      </c>
      <c r="AC17" s="26">
        <f>IF(AND(A17&gt;Supuestos!$B$52+Supuestos!$B$54,A17&lt;=Supuestos!$B$52+Supuestos!$B$54+Supuestos!$B$55),Supuestos!$B$51/Supuestos!$B$55,0)</f>
        <v>0</v>
      </c>
      <c r="AD17" s="26">
        <f>IF(A17=1,Supuestos!$B$50,0)+IF(A17=Supuestos!$B$52,Supuestos!$B$51,0)+IF(A17=Supuestos!$B$57,Supuestos!$B$56,0)</f>
        <v>0</v>
      </c>
      <c r="AE17" s="26">
        <f t="array" ref="AE17">IF(AND(MOD(A17,12)=0,B17&gt;=2),INDEX(Anual!$B$32:$F$32,1,B17-1),0)</f>
        <v>0</v>
      </c>
      <c r="AF17" s="26">
        <f t="shared" si="10"/>
        <v>131386.55613768095</v>
      </c>
      <c r="AG17" s="14">
        <f>COUNTIF(Plantilla!$D$5:$D$18,"&lt;="&amp;A17)</f>
        <v>6</v>
      </c>
      <c r="AH17" s="14">
        <f t="shared" si="9"/>
        <v>0</v>
      </c>
      <c r="AI17" s="26">
        <f t="array" ref="AI17">SUMPRODUCT((Plantilla!$D$5:$D$18&lt;=A17)*(Plantilla!$C$5:$C$18="Comercial")*INDEX(Plantilla!$E$5:$I$18,0,B17))/12*(1+Supuestos!$B$17)</f>
        <v>5500.0000000000009</v>
      </c>
      <c r="AJ17" s="26">
        <f t="array" ref="AJ17">SUMPRODUCT((Plantilla!$D$5:$D$18&lt;=A17)*(Plantilla!$C$5:$C$18="Customer Success")*INDEX(Plantilla!$E$5:$I$18,0,B17))/12*(1+Supuestos!$B$17)</f>
        <v>2640</v>
      </c>
    </row>
    <row r="18" spans="1:36" ht="15" customHeight="1" x14ac:dyDescent="0.35">
      <c r="A18" s="14">
        <v>17</v>
      </c>
      <c r="B18" s="14">
        <f t="shared" si="0"/>
        <v>2</v>
      </c>
      <c r="C18" s="18">
        <f t="array" ref="C18">IF(A18&lt;Supuestos!$B$13,0,INDEX(Supuestos!$B$27:$F$27,1,$B18)*Supuestos!$B$6)</f>
        <v>4</v>
      </c>
      <c r="D18" s="18">
        <f>IF(A18=Supuestos!$B$13,Supuestos!$B$14,0)</f>
        <v>0</v>
      </c>
      <c r="E18" s="18">
        <f>E17*(1-Supuestos!$B$7)+C18+D18</f>
        <v>32.803076472570595</v>
      </c>
      <c r="F18" s="18">
        <f t="array" ref="F18">INDEX(Supuestos!$B$28:$F$28,1,$B18)</f>
        <v>16</v>
      </c>
      <c r="G18" s="23">
        <f t="shared" si="1"/>
        <v>524.84922356112952</v>
      </c>
      <c r="H18" s="25">
        <f t="array" ref="H18">(Supuestos!$B$11*(1-INDEX(Supuestos!$B$29:$F$29,1,$B18))+Supuestos!$B$12*INDEX(Supuestos!$B$29:$F$29,1,$B18))*(1-INDEX(Supuestos!$B$30:$F$30,1,$B18))*Supuestos!$B$8</f>
        <v>17.28</v>
      </c>
      <c r="I18" s="26">
        <f t="shared" si="2"/>
        <v>9069.394583136318</v>
      </c>
      <c r="J18" s="26">
        <f t="array" ref="J18">IF(A18&lt;Supuestos!$B$15,0,G18*INDEX(Supuestos!$B$31:$F$31,1,$B18)/12*INDEX(Supuestos!$B$32:$F$32,1,$B18))</f>
        <v>1312.1230589028239</v>
      </c>
      <c r="K18" s="26">
        <f>J18*Supuestos!$B$16</f>
        <v>262.42461178056482</v>
      </c>
      <c r="L18" s="26">
        <f t="shared" si="3"/>
        <v>9331.8191949168831</v>
      </c>
      <c r="M18" s="26">
        <f t="array" ref="M18">SUMPRODUCT((Plantilla!$D$5:$D$18&lt;=A18)*INDEX(Plantilla!$E$5:$I$18,0,B18))/12</f>
        <v>12583.333333333334</v>
      </c>
      <c r="N18" s="26">
        <f>M18*Supuestos!$B$17</f>
        <v>4026.666666666667</v>
      </c>
      <c r="O18" s="26">
        <f t="shared" si="4"/>
        <v>16610</v>
      </c>
      <c r="P18" s="26">
        <f t="array" ref="P18">C18*INDEX(Supuestos!$B$33:$F$33,1,$B18)+INDEX(Supuestos!$B$34:$F$34,1,$B18)+L18*INDEX(Supuestos!$B$35:$F$35,1,$B18)+IF(AND(A18&gt;=4,A18&lt;=6),Supuestos!$B$20/3,0)</f>
        <v>1600</v>
      </c>
      <c r="Q18" s="26">
        <f t="array" ref="Q18">INDEX(Supuestos!$B$36:$F$36,1,$B18)</f>
        <v>400</v>
      </c>
      <c r="R18" s="26">
        <f>G18*Supuestos!$B$18</f>
        <v>52.484922356112953</v>
      </c>
      <c r="S18" s="26">
        <f>L18*Supuestos!$B$19</f>
        <v>139.97728792375324</v>
      </c>
      <c r="T18" s="26">
        <f t="array" ref="T18">INDEX(Supuestos!$B$37:$F$37,1,$B18)</f>
        <v>920</v>
      </c>
      <c r="U18" s="26">
        <f>SUMIF(Supuestos!$B$41:$B$43,A18,Supuestos!$C$41:$C$43)</f>
        <v>0</v>
      </c>
      <c r="V18" s="26">
        <f t="shared" si="5"/>
        <v>19722.462210279868</v>
      </c>
      <c r="W18" s="26">
        <f t="shared" si="6"/>
        <v>-10390.643015362984</v>
      </c>
      <c r="X18" s="26">
        <f>SUMIF(Supuestos!$B$45:$B$47,A18,Supuestos!$C$45:$C$47)</f>
        <v>0</v>
      </c>
      <c r="Y18" s="26">
        <f>SUMPRODUCT((Supuestos!$B$45:$B$47&lt;=A18)*(Supuestos!$B$45:$B$47+Supuestos!$B$21&gt;A18)*Supuestos!$C$45:$C$47)/Supuestos!$B$21</f>
        <v>166.66666666666666</v>
      </c>
      <c r="Z18" s="26">
        <f t="shared" si="7"/>
        <v>-10557.309682029651</v>
      </c>
      <c r="AA18" s="26">
        <f>IF(A18&gt;=Supuestos!$B$52,(Supuestos!$B$51-SUM(AC$1:AC17))*Supuestos!$B$53/12,0)</f>
        <v>100</v>
      </c>
      <c r="AB18" s="26">
        <f t="shared" si="8"/>
        <v>-10657.309682029651</v>
      </c>
      <c r="AC18" s="26">
        <f>IF(AND(A18&gt;Supuestos!$B$52+Supuestos!$B$54,A18&lt;=Supuestos!$B$52+Supuestos!$B$54+Supuestos!$B$55),Supuestos!$B$51/Supuestos!$B$55,0)</f>
        <v>0</v>
      </c>
      <c r="AD18" s="26">
        <f>IF(A18=1,Supuestos!$B$50,0)+IF(A18=Supuestos!$B$52,Supuestos!$B$51,0)+IF(A18=Supuestos!$B$57,Supuestos!$B$56,0)</f>
        <v>0</v>
      </c>
      <c r="AE18" s="26">
        <f t="array" ref="AE18">IF(AND(MOD(A18,12)=0,B18&gt;=2),INDEX(Anual!$B$32:$F$32,1,B18-1),0)</f>
        <v>0</v>
      </c>
      <c r="AF18" s="26">
        <f t="shared" si="10"/>
        <v>120895.91312231796</v>
      </c>
      <c r="AG18" s="14">
        <f>COUNTIF(Plantilla!$D$5:$D$18,"&lt;="&amp;A18)</f>
        <v>6</v>
      </c>
      <c r="AH18" s="14">
        <f t="shared" si="9"/>
        <v>0</v>
      </c>
      <c r="AI18" s="26">
        <f t="array" ref="AI18">SUMPRODUCT((Plantilla!$D$5:$D$18&lt;=A18)*(Plantilla!$C$5:$C$18="Comercial")*INDEX(Plantilla!$E$5:$I$18,0,B18))/12*(1+Supuestos!$B$17)</f>
        <v>5500.0000000000009</v>
      </c>
      <c r="AJ18" s="26">
        <f t="array" ref="AJ18">SUMPRODUCT((Plantilla!$D$5:$D$18&lt;=A18)*(Plantilla!$C$5:$C$18="Customer Success")*INDEX(Plantilla!$E$5:$I$18,0,B18))/12*(1+Supuestos!$B$17)</f>
        <v>2640</v>
      </c>
    </row>
    <row r="19" spans="1:36" ht="15" customHeight="1" x14ac:dyDescent="0.35">
      <c r="A19" s="14">
        <v>18</v>
      </c>
      <c r="B19" s="14">
        <f t="shared" si="0"/>
        <v>2</v>
      </c>
      <c r="C19" s="18">
        <f t="array" ref="C19">IF(A19&lt;Supuestos!$B$13,0,INDEX(Supuestos!$B$27:$F$27,1,$B19)*Supuestos!$B$6)</f>
        <v>4</v>
      </c>
      <c r="D19" s="18">
        <f>IF(A19=Supuestos!$B$13,Supuestos!$B$14,0)</f>
        <v>0</v>
      </c>
      <c r="E19" s="18">
        <f>E18*(1-Supuestos!$B$7)+C19+D19</f>
        <v>36.147014943119181</v>
      </c>
      <c r="F19" s="18">
        <f t="array" ref="F19">INDEX(Supuestos!$B$28:$F$28,1,$B19)</f>
        <v>16</v>
      </c>
      <c r="G19" s="23">
        <f t="shared" si="1"/>
        <v>578.3522390899069</v>
      </c>
      <c r="H19" s="25">
        <f t="array" ref="H19">(Supuestos!$B$11*(1-INDEX(Supuestos!$B$29:$F$29,1,$B19))+Supuestos!$B$12*INDEX(Supuestos!$B$29:$F$29,1,$B19))*(1-INDEX(Supuestos!$B$30:$F$30,1,$B19))*Supuestos!$B$8</f>
        <v>17.28</v>
      </c>
      <c r="I19" s="26">
        <f t="shared" si="2"/>
        <v>9993.9266914735927</v>
      </c>
      <c r="J19" s="26">
        <f t="array" ref="J19">IF(A19&lt;Supuestos!$B$15,0,G19*INDEX(Supuestos!$B$31:$F$31,1,$B19)/12*INDEX(Supuestos!$B$32:$F$32,1,$B19))</f>
        <v>1445.8805977247673</v>
      </c>
      <c r="K19" s="26">
        <f>J19*Supuestos!$B$16</f>
        <v>289.17611954495345</v>
      </c>
      <c r="L19" s="26">
        <f t="shared" si="3"/>
        <v>10283.102811018545</v>
      </c>
      <c r="M19" s="26">
        <f t="array" ref="M19">SUMPRODUCT((Plantilla!$D$5:$D$18&lt;=A19)*INDEX(Plantilla!$E$5:$I$18,0,B19))/12</f>
        <v>12583.333333333334</v>
      </c>
      <c r="N19" s="26">
        <f>M19*Supuestos!$B$17</f>
        <v>4026.666666666667</v>
      </c>
      <c r="O19" s="26">
        <f t="shared" si="4"/>
        <v>16610</v>
      </c>
      <c r="P19" s="26">
        <f t="array" ref="P19">C19*INDEX(Supuestos!$B$33:$F$33,1,$B19)+INDEX(Supuestos!$B$34:$F$34,1,$B19)+L19*INDEX(Supuestos!$B$35:$F$35,1,$B19)+IF(AND(A19&gt;=4,A19&lt;=6),Supuestos!$B$20/3,0)</f>
        <v>1600</v>
      </c>
      <c r="Q19" s="26">
        <f t="array" ref="Q19">INDEX(Supuestos!$B$36:$F$36,1,$B19)</f>
        <v>400</v>
      </c>
      <c r="R19" s="26">
        <f>G19*Supuestos!$B$18</f>
        <v>57.835223908990692</v>
      </c>
      <c r="S19" s="26">
        <f>L19*Supuestos!$B$19</f>
        <v>154.24654216527819</v>
      </c>
      <c r="T19" s="26">
        <f t="array" ref="T19">INDEX(Supuestos!$B$37:$F$37,1,$B19)</f>
        <v>920</v>
      </c>
      <c r="U19" s="26">
        <f>SUMIF(Supuestos!$B$41:$B$43,A19,Supuestos!$C$41:$C$43)</f>
        <v>0</v>
      </c>
      <c r="V19" s="26">
        <f t="shared" si="5"/>
        <v>19742.081766074269</v>
      </c>
      <c r="W19" s="26">
        <f t="shared" si="6"/>
        <v>-9458.9789550557234</v>
      </c>
      <c r="X19" s="26">
        <f>SUMIF(Supuestos!$B$45:$B$47,A19,Supuestos!$C$45:$C$47)</f>
        <v>0</v>
      </c>
      <c r="Y19" s="26">
        <f>SUMPRODUCT((Supuestos!$B$45:$B$47&lt;=A19)*(Supuestos!$B$45:$B$47+Supuestos!$B$21&gt;A19)*Supuestos!$C$45:$C$47)/Supuestos!$B$21</f>
        <v>166.66666666666666</v>
      </c>
      <c r="Z19" s="26">
        <f t="shared" si="7"/>
        <v>-9625.6456217223895</v>
      </c>
      <c r="AA19" s="26">
        <f>IF(A19&gt;=Supuestos!$B$52,(Supuestos!$B$51-SUM(AC$1:AC18))*Supuestos!$B$53/12,0)</f>
        <v>100</v>
      </c>
      <c r="AB19" s="26">
        <f t="shared" si="8"/>
        <v>-9725.6456217223895</v>
      </c>
      <c r="AC19" s="26">
        <f>IF(AND(A19&gt;Supuestos!$B$52+Supuestos!$B$54,A19&lt;=Supuestos!$B$52+Supuestos!$B$54+Supuestos!$B$55),Supuestos!$B$51/Supuestos!$B$55,0)</f>
        <v>0</v>
      </c>
      <c r="AD19" s="26">
        <f>IF(A19=1,Supuestos!$B$50,0)+IF(A19=Supuestos!$B$52,Supuestos!$B$51,0)+IF(A19=Supuestos!$B$57,Supuestos!$B$56,0)</f>
        <v>0</v>
      </c>
      <c r="AE19" s="26">
        <f t="array" ref="AE19">IF(AND(MOD(A19,12)=0,B19&gt;=2),INDEX(Anual!$B$32:$F$32,1,B19-1),0)</f>
        <v>0</v>
      </c>
      <c r="AF19" s="26">
        <f t="shared" si="10"/>
        <v>111336.93416726225</v>
      </c>
      <c r="AG19" s="14">
        <f>COUNTIF(Plantilla!$D$5:$D$18,"&lt;="&amp;A19)</f>
        <v>6</v>
      </c>
      <c r="AH19" s="14">
        <f t="shared" si="9"/>
        <v>0</v>
      </c>
      <c r="AI19" s="26">
        <f t="array" ref="AI19">SUMPRODUCT((Plantilla!$D$5:$D$18&lt;=A19)*(Plantilla!$C$5:$C$18="Comercial")*INDEX(Plantilla!$E$5:$I$18,0,B19))/12*(1+Supuestos!$B$17)</f>
        <v>5500.0000000000009</v>
      </c>
      <c r="AJ19" s="26">
        <f t="array" ref="AJ19">SUMPRODUCT((Plantilla!$D$5:$D$18&lt;=A19)*(Plantilla!$C$5:$C$18="Customer Success")*INDEX(Plantilla!$E$5:$I$18,0,B19))/12*(1+Supuestos!$B$17)</f>
        <v>2640</v>
      </c>
    </row>
    <row r="20" spans="1:36" ht="15" customHeight="1" x14ac:dyDescent="0.35">
      <c r="A20" s="14">
        <v>19</v>
      </c>
      <c r="B20" s="14">
        <f t="shared" si="0"/>
        <v>2</v>
      </c>
      <c r="C20" s="18">
        <f t="array" ref="C20">IF(A20&lt;Supuestos!$B$13,0,INDEX(Supuestos!$B$27:$F$27,1,$B20)*Supuestos!$B$6)</f>
        <v>4</v>
      </c>
      <c r="D20" s="18">
        <f>IF(A20=Supuestos!$B$13,Supuestos!$B$14,0)</f>
        <v>0</v>
      </c>
      <c r="E20" s="18">
        <f>E19*(1-Supuestos!$B$7)+C20+D20</f>
        <v>39.424074644256798</v>
      </c>
      <c r="F20" s="18">
        <f t="array" ref="F20">INDEX(Supuestos!$B$28:$F$28,1,$B20)</f>
        <v>16</v>
      </c>
      <c r="G20" s="23">
        <f t="shared" si="1"/>
        <v>630.78519430810877</v>
      </c>
      <c r="H20" s="25">
        <f t="array" ref="H20">(Supuestos!$B$11*(1-INDEX(Supuestos!$B$29:$F$29,1,$B20))+Supuestos!$B$12*INDEX(Supuestos!$B$29:$F$29,1,$B20))*(1-INDEX(Supuestos!$B$30:$F$30,1,$B20))*Supuestos!$B$8</f>
        <v>17.28</v>
      </c>
      <c r="I20" s="26">
        <f t="shared" si="2"/>
        <v>10899.96815764412</v>
      </c>
      <c r="J20" s="26">
        <f t="array" ref="J20">IF(A20&lt;Supuestos!$B$15,0,G20*INDEX(Supuestos!$B$31:$F$31,1,$B20)/12*INDEX(Supuestos!$B$32:$F$32,1,$B20))</f>
        <v>1576.9629857702719</v>
      </c>
      <c r="K20" s="26">
        <f>J20*Supuestos!$B$16</f>
        <v>315.39259715405439</v>
      </c>
      <c r="L20" s="26">
        <f t="shared" si="3"/>
        <v>11215.360754798174</v>
      </c>
      <c r="M20" s="26">
        <f t="array" ref="M20">SUMPRODUCT((Plantilla!$D$5:$D$18&lt;=A20)*INDEX(Plantilla!$E$5:$I$18,0,B20))/12</f>
        <v>12583.333333333334</v>
      </c>
      <c r="N20" s="26">
        <f>M20*Supuestos!$B$17</f>
        <v>4026.666666666667</v>
      </c>
      <c r="O20" s="26">
        <f t="shared" si="4"/>
        <v>16610</v>
      </c>
      <c r="P20" s="26">
        <f t="array" ref="P20">C20*INDEX(Supuestos!$B$33:$F$33,1,$B20)+INDEX(Supuestos!$B$34:$F$34,1,$B20)+L20*INDEX(Supuestos!$B$35:$F$35,1,$B20)+IF(AND(A20&gt;=4,A20&lt;=6),Supuestos!$B$20/3,0)</f>
        <v>1600</v>
      </c>
      <c r="Q20" s="26">
        <f t="array" ref="Q20">INDEX(Supuestos!$B$36:$F$36,1,$B20)</f>
        <v>400</v>
      </c>
      <c r="R20" s="26">
        <f>G20*Supuestos!$B$18</f>
        <v>63.078519430810879</v>
      </c>
      <c r="S20" s="26">
        <f>L20*Supuestos!$B$19</f>
        <v>168.23041132197261</v>
      </c>
      <c r="T20" s="26">
        <f t="array" ref="T20">INDEX(Supuestos!$B$37:$F$37,1,$B20)</f>
        <v>920</v>
      </c>
      <c r="U20" s="26">
        <f>SUMIF(Supuestos!$B$41:$B$43,A20,Supuestos!$C$41:$C$43)</f>
        <v>0</v>
      </c>
      <c r="V20" s="26">
        <f t="shared" si="5"/>
        <v>19761.308930752784</v>
      </c>
      <c r="W20" s="26">
        <f t="shared" si="6"/>
        <v>-8545.9481759546106</v>
      </c>
      <c r="X20" s="26">
        <f>SUMIF(Supuestos!$B$45:$B$47,A20,Supuestos!$C$45:$C$47)</f>
        <v>0</v>
      </c>
      <c r="Y20" s="26">
        <f>SUMPRODUCT((Supuestos!$B$45:$B$47&lt;=A20)*(Supuestos!$B$45:$B$47+Supuestos!$B$21&gt;A20)*Supuestos!$C$45:$C$47)/Supuestos!$B$21</f>
        <v>166.66666666666666</v>
      </c>
      <c r="Z20" s="26">
        <f t="shared" si="7"/>
        <v>-8712.6148426212767</v>
      </c>
      <c r="AA20" s="26">
        <f>IF(A20&gt;=Supuestos!$B$52,(Supuestos!$B$51-SUM(AC$1:AC19))*Supuestos!$B$53/12,0)</f>
        <v>100</v>
      </c>
      <c r="AB20" s="26">
        <f t="shared" si="8"/>
        <v>-8812.6148426212767</v>
      </c>
      <c r="AC20" s="26">
        <f>IF(AND(A20&gt;Supuestos!$B$52+Supuestos!$B$54,A20&lt;=Supuestos!$B$52+Supuestos!$B$54+Supuestos!$B$55),Supuestos!$B$51/Supuestos!$B$55,0)</f>
        <v>0</v>
      </c>
      <c r="AD20" s="26">
        <f>IF(A20=1,Supuestos!$B$50,0)+IF(A20=Supuestos!$B$52,Supuestos!$B$51,0)+IF(A20=Supuestos!$B$57,Supuestos!$B$56,0)</f>
        <v>0</v>
      </c>
      <c r="AE20" s="26">
        <f t="array" ref="AE20">IF(AND(MOD(A20,12)=0,B20&gt;=2),INDEX(Anual!$B$32:$F$32,1,B20-1),0)</f>
        <v>0</v>
      </c>
      <c r="AF20" s="26">
        <f t="shared" si="10"/>
        <v>102690.98599130764</v>
      </c>
      <c r="AG20" s="14">
        <f>COUNTIF(Plantilla!$D$5:$D$18,"&lt;="&amp;A20)</f>
        <v>6</v>
      </c>
      <c r="AH20" s="14">
        <f t="shared" si="9"/>
        <v>0</v>
      </c>
      <c r="AI20" s="26">
        <f t="array" ref="AI20">SUMPRODUCT((Plantilla!$D$5:$D$18&lt;=A20)*(Plantilla!$C$5:$C$18="Comercial")*INDEX(Plantilla!$E$5:$I$18,0,B20))/12*(1+Supuestos!$B$17)</f>
        <v>5500.0000000000009</v>
      </c>
      <c r="AJ20" s="26">
        <f t="array" ref="AJ20">SUMPRODUCT((Plantilla!$D$5:$D$18&lt;=A20)*(Plantilla!$C$5:$C$18="Customer Success")*INDEX(Plantilla!$E$5:$I$18,0,B20))/12*(1+Supuestos!$B$17)</f>
        <v>2640</v>
      </c>
    </row>
    <row r="21" spans="1:36" ht="15" customHeight="1" x14ac:dyDescent="0.35">
      <c r="A21" s="14">
        <v>20</v>
      </c>
      <c r="B21" s="14">
        <f t="shared" si="0"/>
        <v>2</v>
      </c>
      <c r="C21" s="18">
        <f t="array" ref="C21">IF(A21&lt;Supuestos!$B$13,0,INDEX(Supuestos!$B$27:$F$27,1,$B21)*Supuestos!$B$6)</f>
        <v>4</v>
      </c>
      <c r="D21" s="18">
        <f>IF(A21=Supuestos!$B$13,Supuestos!$B$14,0)</f>
        <v>0</v>
      </c>
      <c r="E21" s="18">
        <f>E20*(1-Supuestos!$B$7)+C21+D21</f>
        <v>42.635593151371658</v>
      </c>
      <c r="F21" s="18">
        <f t="array" ref="F21">INDEX(Supuestos!$B$28:$F$28,1,$B21)</f>
        <v>16</v>
      </c>
      <c r="G21" s="23">
        <f t="shared" si="1"/>
        <v>682.16949042194653</v>
      </c>
      <c r="H21" s="25">
        <f t="array" ref="H21">(Supuestos!$B$11*(1-INDEX(Supuestos!$B$29:$F$29,1,$B21))+Supuestos!$B$12*INDEX(Supuestos!$B$29:$F$29,1,$B21))*(1-INDEX(Supuestos!$B$30:$F$30,1,$B21))*Supuestos!$B$8</f>
        <v>17.28</v>
      </c>
      <c r="I21" s="26">
        <f t="shared" si="2"/>
        <v>11787.888794491237</v>
      </c>
      <c r="J21" s="26">
        <f t="array" ref="J21">IF(A21&lt;Supuestos!$B$15,0,G21*INDEX(Supuestos!$B$31:$F$31,1,$B21)/12*INDEX(Supuestos!$B$32:$F$32,1,$B21))</f>
        <v>1705.4237260548664</v>
      </c>
      <c r="K21" s="26">
        <f>J21*Supuestos!$B$16</f>
        <v>341.08474521097332</v>
      </c>
      <c r="L21" s="26">
        <f t="shared" si="3"/>
        <v>12128.97353970221</v>
      </c>
      <c r="M21" s="26">
        <f t="array" ref="M21">SUMPRODUCT((Plantilla!$D$5:$D$18&lt;=A21)*INDEX(Plantilla!$E$5:$I$18,0,B21))/12</f>
        <v>12583.333333333334</v>
      </c>
      <c r="N21" s="26">
        <f>M21*Supuestos!$B$17</f>
        <v>4026.666666666667</v>
      </c>
      <c r="O21" s="26">
        <f t="shared" si="4"/>
        <v>16610</v>
      </c>
      <c r="P21" s="26">
        <f t="array" ref="P21">C21*INDEX(Supuestos!$B$33:$F$33,1,$B21)+INDEX(Supuestos!$B$34:$F$34,1,$B21)+L21*INDEX(Supuestos!$B$35:$F$35,1,$B21)+IF(AND(A21&gt;=4,A21&lt;=6),Supuestos!$B$20/3,0)</f>
        <v>1600</v>
      </c>
      <c r="Q21" s="26">
        <f t="array" ref="Q21">INDEX(Supuestos!$B$36:$F$36,1,$B21)</f>
        <v>400</v>
      </c>
      <c r="R21" s="26">
        <f>G21*Supuestos!$B$18</f>
        <v>68.216949042194656</v>
      </c>
      <c r="S21" s="26">
        <f>L21*Supuestos!$B$19</f>
        <v>181.93460309553316</v>
      </c>
      <c r="T21" s="26">
        <f t="array" ref="T21">INDEX(Supuestos!$B$37:$F$37,1,$B21)</f>
        <v>920</v>
      </c>
      <c r="U21" s="26">
        <f>SUMIF(Supuestos!$B$41:$B$43,A21,Supuestos!$C$41:$C$43)</f>
        <v>0</v>
      </c>
      <c r="V21" s="26">
        <f t="shared" si="5"/>
        <v>19780.15155213773</v>
      </c>
      <c r="W21" s="26">
        <f t="shared" si="6"/>
        <v>-7651.1780124355191</v>
      </c>
      <c r="X21" s="26">
        <f>SUMIF(Supuestos!$B$45:$B$47,A21,Supuestos!$C$45:$C$47)</f>
        <v>0</v>
      </c>
      <c r="Y21" s="26">
        <f>SUMPRODUCT((Supuestos!$B$45:$B$47&lt;=A21)*(Supuestos!$B$45:$B$47+Supuestos!$B$21&gt;A21)*Supuestos!$C$45:$C$47)/Supuestos!$B$21</f>
        <v>166.66666666666666</v>
      </c>
      <c r="Z21" s="26">
        <f t="shared" si="7"/>
        <v>-7817.8446791021861</v>
      </c>
      <c r="AA21" s="26">
        <f>IF(A21&gt;=Supuestos!$B$52,(Supuestos!$B$51-SUM(AC$1:AC20))*Supuestos!$B$53/12,0)</f>
        <v>100</v>
      </c>
      <c r="AB21" s="26">
        <f t="shared" si="8"/>
        <v>-7917.8446791021861</v>
      </c>
      <c r="AC21" s="26">
        <f>IF(AND(A21&gt;Supuestos!$B$52+Supuestos!$B$54,A21&lt;=Supuestos!$B$52+Supuestos!$B$54+Supuestos!$B$55),Supuestos!$B$51/Supuestos!$B$55,0)</f>
        <v>0</v>
      </c>
      <c r="AD21" s="26">
        <f>IF(A21=1,Supuestos!$B$50,0)+IF(A21=Supuestos!$B$52,Supuestos!$B$51,0)+IF(A21=Supuestos!$B$57,Supuestos!$B$56,0)</f>
        <v>0</v>
      </c>
      <c r="AE21" s="26">
        <f t="array" ref="AE21">IF(AND(MOD(A21,12)=0,B21&gt;=2),INDEX(Anual!$B$32:$F$32,1,B21-1),0)</f>
        <v>0</v>
      </c>
      <c r="AF21" s="26">
        <f t="shared" si="10"/>
        <v>94939.807978872122</v>
      </c>
      <c r="AG21" s="14">
        <f>COUNTIF(Plantilla!$D$5:$D$18,"&lt;="&amp;A21)</f>
        <v>6</v>
      </c>
      <c r="AH21" s="14">
        <f t="shared" si="9"/>
        <v>0</v>
      </c>
      <c r="AI21" s="26">
        <f t="array" ref="AI21">SUMPRODUCT((Plantilla!$D$5:$D$18&lt;=A21)*(Plantilla!$C$5:$C$18="Comercial")*INDEX(Plantilla!$E$5:$I$18,0,B21))/12*(1+Supuestos!$B$17)</f>
        <v>5500.0000000000009</v>
      </c>
      <c r="AJ21" s="26">
        <f t="array" ref="AJ21">SUMPRODUCT((Plantilla!$D$5:$D$18&lt;=A21)*(Plantilla!$C$5:$C$18="Customer Success")*INDEX(Plantilla!$E$5:$I$18,0,B21))/12*(1+Supuestos!$B$17)</f>
        <v>2640</v>
      </c>
    </row>
    <row r="22" spans="1:36" ht="15" customHeight="1" x14ac:dyDescent="0.35">
      <c r="A22" s="14">
        <v>21</v>
      </c>
      <c r="B22" s="14">
        <f t="shared" si="0"/>
        <v>2</v>
      </c>
      <c r="C22" s="18">
        <f t="array" ref="C22">IF(A22&lt;Supuestos!$B$13,0,INDEX(Supuestos!$B$27:$F$27,1,$B22)*Supuestos!$B$6)</f>
        <v>4</v>
      </c>
      <c r="D22" s="18">
        <f>IF(A22=Supuestos!$B$13,Supuestos!$B$14,0)</f>
        <v>0</v>
      </c>
      <c r="E22" s="18">
        <f>E21*(1-Supuestos!$B$7)+C22+D22</f>
        <v>45.782881288344221</v>
      </c>
      <c r="F22" s="18">
        <f t="array" ref="F22">INDEX(Supuestos!$B$28:$F$28,1,$B22)</f>
        <v>16</v>
      </c>
      <c r="G22" s="23">
        <f t="shared" si="1"/>
        <v>732.52610061350754</v>
      </c>
      <c r="H22" s="25">
        <f t="array" ref="H22">(Supuestos!$B$11*(1-INDEX(Supuestos!$B$29:$F$29,1,$B22))+Supuestos!$B$12*INDEX(Supuestos!$B$29:$F$29,1,$B22))*(1-INDEX(Supuestos!$B$30:$F$30,1,$B22))*Supuestos!$B$8</f>
        <v>17.28</v>
      </c>
      <c r="I22" s="26">
        <f t="shared" si="2"/>
        <v>12658.051018601411</v>
      </c>
      <c r="J22" s="26">
        <f t="array" ref="J22">IF(A22&lt;Supuestos!$B$15,0,G22*INDEX(Supuestos!$B$31:$F$31,1,$B22)/12*INDEX(Supuestos!$B$32:$F$32,1,$B22))</f>
        <v>1831.3152515337688</v>
      </c>
      <c r="K22" s="26">
        <f>J22*Supuestos!$B$16</f>
        <v>366.26305030675377</v>
      </c>
      <c r="L22" s="26">
        <f t="shared" si="3"/>
        <v>13024.314068908165</v>
      </c>
      <c r="M22" s="26">
        <f t="array" ref="M22">SUMPRODUCT((Plantilla!$D$5:$D$18&lt;=A22)*INDEX(Plantilla!$E$5:$I$18,0,B22))/12</f>
        <v>12583.333333333334</v>
      </c>
      <c r="N22" s="26">
        <f>M22*Supuestos!$B$17</f>
        <v>4026.666666666667</v>
      </c>
      <c r="O22" s="26">
        <f t="shared" si="4"/>
        <v>16610</v>
      </c>
      <c r="P22" s="26">
        <f t="array" ref="P22">C22*INDEX(Supuestos!$B$33:$F$33,1,$B22)+INDEX(Supuestos!$B$34:$F$34,1,$B22)+L22*INDEX(Supuestos!$B$35:$F$35,1,$B22)+IF(AND(A22&gt;=4,A22&lt;=6),Supuestos!$B$20/3,0)</f>
        <v>1600</v>
      </c>
      <c r="Q22" s="26">
        <f t="array" ref="Q22">INDEX(Supuestos!$B$36:$F$36,1,$B22)</f>
        <v>400</v>
      </c>
      <c r="R22" s="26">
        <f>G22*Supuestos!$B$18</f>
        <v>73.252610061350751</v>
      </c>
      <c r="S22" s="26">
        <f>L22*Supuestos!$B$19</f>
        <v>195.36471103362246</v>
      </c>
      <c r="T22" s="26">
        <f t="array" ref="T22">INDEX(Supuestos!$B$37:$F$37,1,$B22)</f>
        <v>920</v>
      </c>
      <c r="U22" s="26">
        <f>SUMIF(Supuestos!$B$41:$B$43,A22,Supuestos!$C$41:$C$43)</f>
        <v>0</v>
      </c>
      <c r="V22" s="26">
        <f t="shared" si="5"/>
        <v>19798.617321094975</v>
      </c>
      <c r="W22" s="26">
        <f t="shared" si="6"/>
        <v>-6774.3032521868099</v>
      </c>
      <c r="X22" s="26">
        <f>SUMIF(Supuestos!$B$45:$B$47,A22,Supuestos!$C$45:$C$47)</f>
        <v>0</v>
      </c>
      <c r="Y22" s="26">
        <f>SUMPRODUCT((Supuestos!$B$45:$B$47&lt;=A22)*(Supuestos!$B$45:$B$47+Supuestos!$B$21&gt;A22)*Supuestos!$C$45:$C$47)/Supuestos!$B$21</f>
        <v>166.66666666666666</v>
      </c>
      <c r="Z22" s="26">
        <f t="shared" si="7"/>
        <v>-6940.9699188534769</v>
      </c>
      <c r="AA22" s="26">
        <f>IF(A22&gt;=Supuestos!$B$52,(Supuestos!$B$51-SUM(AC$1:AC21))*Supuestos!$B$53/12,0)</f>
        <v>100</v>
      </c>
      <c r="AB22" s="26">
        <f t="shared" si="8"/>
        <v>-7040.9699188534769</v>
      </c>
      <c r="AC22" s="26">
        <f>IF(AND(A22&gt;Supuestos!$B$52+Supuestos!$B$54,A22&lt;=Supuestos!$B$52+Supuestos!$B$54+Supuestos!$B$55),Supuestos!$B$51/Supuestos!$B$55,0)</f>
        <v>0</v>
      </c>
      <c r="AD22" s="26">
        <f>IF(A22=1,Supuestos!$B$50,0)+IF(A22=Supuestos!$B$52,Supuestos!$B$51,0)+IF(A22=Supuestos!$B$57,Supuestos!$B$56,0)</f>
        <v>0</v>
      </c>
      <c r="AE22" s="26">
        <f t="array" ref="AE22">IF(AND(MOD(A22,12)=0,B22&gt;=2),INDEX(Anual!$B$32:$F$32,1,B22-1),0)</f>
        <v>0</v>
      </c>
      <c r="AF22" s="26">
        <f t="shared" si="10"/>
        <v>88065.504726685307</v>
      </c>
      <c r="AG22" s="14">
        <f>COUNTIF(Plantilla!$D$5:$D$18,"&lt;="&amp;A22)</f>
        <v>6</v>
      </c>
      <c r="AH22" s="14">
        <f t="shared" si="9"/>
        <v>0</v>
      </c>
      <c r="AI22" s="26">
        <f t="array" ref="AI22">SUMPRODUCT((Plantilla!$D$5:$D$18&lt;=A22)*(Plantilla!$C$5:$C$18="Comercial")*INDEX(Plantilla!$E$5:$I$18,0,B22))/12*(1+Supuestos!$B$17)</f>
        <v>5500.0000000000009</v>
      </c>
      <c r="AJ22" s="26">
        <f t="array" ref="AJ22">SUMPRODUCT((Plantilla!$D$5:$D$18&lt;=A22)*(Plantilla!$C$5:$C$18="Customer Success")*INDEX(Plantilla!$E$5:$I$18,0,B22))/12*(1+Supuestos!$B$17)</f>
        <v>2640</v>
      </c>
    </row>
    <row r="23" spans="1:36" ht="15" customHeight="1" x14ac:dyDescent="0.35">
      <c r="A23" s="14">
        <v>22</v>
      </c>
      <c r="B23" s="14">
        <f t="shared" si="0"/>
        <v>2</v>
      </c>
      <c r="C23" s="18">
        <f t="array" ref="C23">IF(A23&lt;Supuestos!$B$13,0,INDEX(Supuestos!$B$27:$F$27,1,$B23)*Supuestos!$B$6)</f>
        <v>4</v>
      </c>
      <c r="D23" s="18">
        <f>IF(A23=Supuestos!$B$13,Supuestos!$B$14,0)</f>
        <v>0</v>
      </c>
      <c r="E23" s="18">
        <f>E22*(1-Supuestos!$B$7)+C23+D23</f>
        <v>48.867223662577338</v>
      </c>
      <c r="F23" s="18">
        <f t="array" ref="F23">INDEX(Supuestos!$B$28:$F$28,1,$B23)</f>
        <v>16</v>
      </c>
      <c r="G23" s="23">
        <f t="shared" si="1"/>
        <v>781.87557860123741</v>
      </c>
      <c r="H23" s="25">
        <f t="array" ref="H23">(Supuestos!$B$11*(1-INDEX(Supuestos!$B$29:$F$29,1,$B23))+Supuestos!$B$12*INDEX(Supuestos!$B$29:$F$29,1,$B23))*(1-INDEX(Supuestos!$B$30:$F$30,1,$B23))*Supuestos!$B$8</f>
        <v>17.28</v>
      </c>
      <c r="I23" s="26">
        <f t="shared" si="2"/>
        <v>13510.809998229382</v>
      </c>
      <c r="J23" s="26">
        <f t="array" ref="J23">IF(A23&lt;Supuestos!$B$15,0,G23*INDEX(Supuestos!$B$31:$F$31,1,$B23)/12*INDEX(Supuestos!$B$32:$F$32,1,$B23))</f>
        <v>1954.6889465030936</v>
      </c>
      <c r="K23" s="26">
        <f>J23*Supuestos!$B$16</f>
        <v>390.93778930061876</v>
      </c>
      <c r="L23" s="26">
        <f t="shared" si="3"/>
        <v>13901.747787530001</v>
      </c>
      <c r="M23" s="26">
        <f t="array" ref="M23">SUMPRODUCT((Plantilla!$D$5:$D$18&lt;=A23)*INDEX(Plantilla!$E$5:$I$18,0,B23))/12</f>
        <v>12583.333333333334</v>
      </c>
      <c r="N23" s="26">
        <f>M23*Supuestos!$B$17</f>
        <v>4026.666666666667</v>
      </c>
      <c r="O23" s="26">
        <f t="shared" si="4"/>
        <v>16610</v>
      </c>
      <c r="P23" s="26">
        <f t="array" ref="P23">C23*INDEX(Supuestos!$B$33:$F$33,1,$B23)+INDEX(Supuestos!$B$34:$F$34,1,$B23)+L23*INDEX(Supuestos!$B$35:$F$35,1,$B23)+IF(AND(A23&gt;=4,A23&lt;=6),Supuestos!$B$20/3,0)</f>
        <v>1600</v>
      </c>
      <c r="Q23" s="26">
        <f t="array" ref="Q23">INDEX(Supuestos!$B$36:$F$36,1,$B23)</f>
        <v>400</v>
      </c>
      <c r="R23" s="26">
        <f>G23*Supuestos!$B$18</f>
        <v>78.187557860123746</v>
      </c>
      <c r="S23" s="26">
        <f>L23*Supuestos!$B$19</f>
        <v>208.52621681295</v>
      </c>
      <c r="T23" s="26">
        <f t="array" ref="T23">INDEX(Supuestos!$B$37:$F$37,1,$B23)</f>
        <v>920</v>
      </c>
      <c r="U23" s="26">
        <f>SUMIF(Supuestos!$B$41:$B$43,A23,Supuestos!$C$41:$C$43)</f>
        <v>0</v>
      </c>
      <c r="V23" s="26">
        <f t="shared" si="5"/>
        <v>19816.713774673073</v>
      </c>
      <c r="W23" s="26">
        <f t="shared" si="6"/>
        <v>-5914.9659871430722</v>
      </c>
      <c r="X23" s="26">
        <f>SUMIF(Supuestos!$B$45:$B$47,A23,Supuestos!$C$45:$C$47)</f>
        <v>0</v>
      </c>
      <c r="Y23" s="26">
        <f>SUMPRODUCT((Supuestos!$B$45:$B$47&lt;=A23)*(Supuestos!$B$45:$B$47+Supuestos!$B$21&gt;A23)*Supuestos!$C$45:$C$47)/Supuestos!$B$21</f>
        <v>166.66666666666666</v>
      </c>
      <c r="Z23" s="26">
        <f t="shared" si="7"/>
        <v>-6081.6326538097392</v>
      </c>
      <c r="AA23" s="26">
        <f>IF(A23&gt;=Supuestos!$B$52,(Supuestos!$B$51-SUM(AC$1:AC22))*Supuestos!$B$53/12,0)</f>
        <v>100</v>
      </c>
      <c r="AB23" s="26">
        <f t="shared" si="8"/>
        <v>-6181.6326538097392</v>
      </c>
      <c r="AC23" s="26">
        <f>IF(AND(A23&gt;Supuestos!$B$52+Supuestos!$B$54,A23&lt;=Supuestos!$B$52+Supuestos!$B$54+Supuestos!$B$55),Supuestos!$B$51/Supuestos!$B$55,0)</f>
        <v>0</v>
      </c>
      <c r="AD23" s="26">
        <f>IF(A23=1,Supuestos!$B$50,0)+IF(A23=Supuestos!$B$52,Supuestos!$B$51,0)+IF(A23=Supuestos!$B$57,Supuestos!$B$56,0)</f>
        <v>0</v>
      </c>
      <c r="AE23" s="26">
        <f t="array" ref="AE23">IF(AND(MOD(A23,12)=0,B23&gt;=2),INDEX(Anual!$B$32:$F$32,1,B23-1),0)</f>
        <v>0</v>
      </c>
      <c r="AF23" s="26">
        <f t="shared" si="10"/>
        <v>82050.538739542229</v>
      </c>
      <c r="AG23" s="14">
        <f>COUNTIF(Plantilla!$D$5:$D$18,"&lt;="&amp;A23)</f>
        <v>6</v>
      </c>
      <c r="AH23" s="14">
        <f t="shared" si="9"/>
        <v>0</v>
      </c>
      <c r="AI23" s="26">
        <f t="array" ref="AI23">SUMPRODUCT((Plantilla!$D$5:$D$18&lt;=A23)*(Plantilla!$C$5:$C$18="Comercial")*INDEX(Plantilla!$E$5:$I$18,0,B23))/12*(1+Supuestos!$B$17)</f>
        <v>5500.0000000000009</v>
      </c>
      <c r="AJ23" s="26">
        <f t="array" ref="AJ23">SUMPRODUCT((Plantilla!$D$5:$D$18&lt;=A23)*(Plantilla!$C$5:$C$18="Customer Success")*INDEX(Plantilla!$E$5:$I$18,0,B23))/12*(1+Supuestos!$B$17)</f>
        <v>2640</v>
      </c>
    </row>
    <row r="24" spans="1:36" ht="15" customHeight="1" x14ac:dyDescent="0.35">
      <c r="A24" s="14">
        <v>23</v>
      </c>
      <c r="B24" s="14">
        <f t="shared" si="0"/>
        <v>2</v>
      </c>
      <c r="C24" s="18">
        <f t="array" ref="C24">IF(A24&lt;Supuestos!$B$13,0,INDEX(Supuestos!$B$27:$F$27,1,$B24)*Supuestos!$B$6)</f>
        <v>4</v>
      </c>
      <c r="D24" s="18">
        <f>IF(A24=Supuestos!$B$13,Supuestos!$B$14,0)</f>
        <v>0</v>
      </c>
      <c r="E24" s="18">
        <f>E23*(1-Supuestos!$B$7)+C24+D24</f>
        <v>51.889879189325789</v>
      </c>
      <c r="F24" s="18">
        <f t="array" ref="F24">INDEX(Supuestos!$B$28:$F$28,1,$B24)</f>
        <v>16</v>
      </c>
      <c r="G24" s="23">
        <f t="shared" si="1"/>
        <v>830.23806702921263</v>
      </c>
      <c r="H24" s="25">
        <f t="array" ref="H24">(Supuestos!$B$11*(1-INDEX(Supuestos!$B$29:$F$29,1,$B24))+Supuestos!$B$12*INDEX(Supuestos!$B$29:$F$29,1,$B24))*(1-INDEX(Supuestos!$B$30:$F$30,1,$B24))*Supuestos!$B$8</f>
        <v>17.28</v>
      </c>
      <c r="I24" s="26">
        <f t="shared" si="2"/>
        <v>14346.513798264796</v>
      </c>
      <c r="J24" s="26">
        <f t="array" ref="J24">IF(A24&lt;Supuestos!$B$15,0,G24*INDEX(Supuestos!$B$31:$F$31,1,$B24)/12*INDEX(Supuestos!$B$32:$F$32,1,$B24))</f>
        <v>2075.5951675730316</v>
      </c>
      <c r="K24" s="26">
        <f>J24*Supuestos!$B$16</f>
        <v>415.11903351460637</v>
      </c>
      <c r="L24" s="26">
        <f t="shared" si="3"/>
        <v>14761.632831779401</v>
      </c>
      <c r="M24" s="26">
        <f t="array" ref="M24">SUMPRODUCT((Plantilla!$D$5:$D$18&lt;=A24)*INDEX(Plantilla!$E$5:$I$18,0,B24))/12</f>
        <v>12583.333333333334</v>
      </c>
      <c r="N24" s="26">
        <f>M24*Supuestos!$B$17</f>
        <v>4026.666666666667</v>
      </c>
      <c r="O24" s="26">
        <f t="shared" si="4"/>
        <v>16610</v>
      </c>
      <c r="P24" s="26">
        <f t="array" ref="P24">C24*INDEX(Supuestos!$B$33:$F$33,1,$B24)+INDEX(Supuestos!$B$34:$F$34,1,$B24)+L24*INDEX(Supuestos!$B$35:$F$35,1,$B24)+IF(AND(A24&gt;=4,A24&lt;=6),Supuestos!$B$20/3,0)</f>
        <v>1600</v>
      </c>
      <c r="Q24" s="26">
        <f t="array" ref="Q24">INDEX(Supuestos!$B$36:$F$36,1,$B24)</f>
        <v>400</v>
      </c>
      <c r="R24" s="26">
        <f>G24*Supuestos!$B$18</f>
        <v>83.023806702921263</v>
      </c>
      <c r="S24" s="26">
        <f>L24*Supuestos!$B$19</f>
        <v>221.424492476691</v>
      </c>
      <c r="T24" s="26">
        <f t="array" ref="T24">INDEX(Supuestos!$B$37:$F$37,1,$B24)</f>
        <v>920</v>
      </c>
      <c r="U24" s="26">
        <f>SUMIF(Supuestos!$B$41:$B$43,A24,Supuestos!$C$41:$C$43)</f>
        <v>0</v>
      </c>
      <c r="V24" s="26">
        <f t="shared" si="5"/>
        <v>19834.44829917961</v>
      </c>
      <c r="W24" s="26">
        <f t="shared" si="6"/>
        <v>-5072.8154674002089</v>
      </c>
      <c r="X24" s="26">
        <f>SUMIF(Supuestos!$B$45:$B$47,A24,Supuestos!$C$45:$C$47)</f>
        <v>0</v>
      </c>
      <c r="Y24" s="26">
        <f>SUMPRODUCT((Supuestos!$B$45:$B$47&lt;=A24)*(Supuestos!$B$45:$B$47+Supuestos!$B$21&gt;A24)*Supuestos!$C$45:$C$47)/Supuestos!$B$21</f>
        <v>166.66666666666666</v>
      </c>
      <c r="Z24" s="26">
        <f t="shared" si="7"/>
        <v>-5239.4821340668759</v>
      </c>
      <c r="AA24" s="26">
        <f>IF(A24&gt;=Supuestos!$B$52,(Supuestos!$B$51-SUM(AC$1:AC23))*Supuestos!$B$53/12,0)</f>
        <v>100</v>
      </c>
      <c r="AB24" s="26">
        <f t="shared" si="8"/>
        <v>-5339.4821340668759</v>
      </c>
      <c r="AC24" s="26">
        <f>IF(AND(A24&gt;Supuestos!$B$52+Supuestos!$B$54,A24&lt;=Supuestos!$B$52+Supuestos!$B$54+Supuestos!$B$55),Supuestos!$B$51/Supuestos!$B$55,0)</f>
        <v>0</v>
      </c>
      <c r="AD24" s="26">
        <f>IF(A24=1,Supuestos!$B$50,0)+IF(A24=Supuestos!$B$52,Supuestos!$B$51,0)+IF(A24=Supuestos!$B$57,Supuestos!$B$56,0)</f>
        <v>0</v>
      </c>
      <c r="AE24" s="26">
        <f t="array" ref="AE24">IF(AND(MOD(A24,12)=0,B24&gt;=2),INDEX(Anual!$B$32:$F$32,1,B24-1),0)</f>
        <v>0</v>
      </c>
      <c r="AF24" s="26">
        <f t="shared" si="10"/>
        <v>76877.723272142015</v>
      </c>
      <c r="AG24" s="14">
        <f>COUNTIF(Plantilla!$D$5:$D$18,"&lt;="&amp;A24)</f>
        <v>6</v>
      </c>
      <c r="AH24" s="14">
        <f t="shared" si="9"/>
        <v>0</v>
      </c>
      <c r="AI24" s="26">
        <f t="array" ref="AI24">SUMPRODUCT((Plantilla!$D$5:$D$18&lt;=A24)*(Plantilla!$C$5:$C$18="Comercial")*INDEX(Plantilla!$E$5:$I$18,0,B24))/12*(1+Supuestos!$B$17)</f>
        <v>5500.0000000000009</v>
      </c>
      <c r="AJ24" s="26">
        <f t="array" ref="AJ24">SUMPRODUCT((Plantilla!$D$5:$D$18&lt;=A24)*(Plantilla!$C$5:$C$18="Customer Success")*INDEX(Plantilla!$E$5:$I$18,0,B24))/12*(1+Supuestos!$B$17)</f>
        <v>2640</v>
      </c>
    </row>
    <row r="25" spans="1:36" ht="15" customHeight="1" x14ac:dyDescent="0.35">
      <c r="A25" s="14">
        <v>24</v>
      </c>
      <c r="B25" s="14">
        <f t="shared" si="0"/>
        <v>2</v>
      </c>
      <c r="C25" s="18">
        <f t="array" ref="C25">IF(A25&lt;Supuestos!$B$13,0,INDEX(Supuestos!$B$27:$F$27,1,$B25)*Supuestos!$B$6)</f>
        <v>4</v>
      </c>
      <c r="D25" s="18">
        <f>IF(A25=Supuestos!$B$13,Supuestos!$B$14,0)</f>
        <v>0</v>
      </c>
      <c r="E25" s="18">
        <f>E24*(1-Supuestos!$B$7)+C25+D25</f>
        <v>54.852081605539276</v>
      </c>
      <c r="F25" s="18">
        <f t="array" ref="F25">INDEX(Supuestos!$B$28:$F$28,1,$B25)</f>
        <v>16</v>
      </c>
      <c r="G25" s="23">
        <f t="shared" si="1"/>
        <v>877.63330568862841</v>
      </c>
      <c r="H25" s="25">
        <f t="array" ref="H25">(Supuestos!$B$11*(1-INDEX(Supuestos!$B$29:$F$29,1,$B25))+Supuestos!$B$12*INDEX(Supuestos!$B$29:$F$29,1,$B25))*(1-INDEX(Supuestos!$B$30:$F$30,1,$B25))*Supuestos!$B$8</f>
        <v>17.28</v>
      </c>
      <c r="I25" s="26">
        <f t="shared" si="2"/>
        <v>15165.503522299499</v>
      </c>
      <c r="J25" s="26">
        <f t="array" ref="J25">IF(A25&lt;Supuestos!$B$15,0,G25*INDEX(Supuestos!$B$31:$F$31,1,$B25)/12*INDEX(Supuestos!$B$32:$F$32,1,$B25))</f>
        <v>2194.083264221571</v>
      </c>
      <c r="K25" s="26">
        <f>J25*Supuestos!$B$16</f>
        <v>438.81665284431421</v>
      </c>
      <c r="L25" s="26">
        <f t="shared" si="3"/>
        <v>15604.320175143814</v>
      </c>
      <c r="M25" s="26">
        <f t="array" ref="M25">SUMPRODUCT((Plantilla!$D$5:$D$18&lt;=A25)*INDEX(Plantilla!$E$5:$I$18,0,B25))/12</f>
        <v>12583.333333333334</v>
      </c>
      <c r="N25" s="26">
        <f>M25*Supuestos!$B$17</f>
        <v>4026.666666666667</v>
      </c>
      <c r="O25" s="26">
        <f t="shared" si="4"/>
        <v>16610</v>
      </c>
      <c r="P25" s="26">
        <f t="array" ref="P25">C25*INDEX(Supuestos!$B$33:$F$33,1,$B25)+INDEX(Supuestos!$B$34:$F$34,1,$B25)+L25*INDEX(Supuestos!$B$35:$F$35,1,$B25)+IF(AND(A25&gt;=4,A25&lt;=6),Supuestos!$B$20/3,0)</f>
        <v>1600</v>
      </c>
      <c r="Q25" s="26">
        <f t="array" ref="Q25">INDEX(Supuestos!$B$36:$F$36,1,$B25)</f>
        <v>400</v>
      </c>
      <c r="R25" s="26">
        <f>G25*Supuestos!$B$18</f>
        <v>87.763330568862841</v>
      </c>
      <c r="S25" s="26">
        <f>L25*Supuestos!$B$19</f>
        <v>234.06480262715721</v>
      </c>
      <c r="T25" s="26">
        <f t="array" ref="T25">INDEX(Supuestos!$B$37:$F$37,1,$B25)</f>
        <v>920</v>
      </c>
      <c r="U25" s="26">
        <f>SUMIF(Supuestos!$B$41:$B$43,A25,Supuestos!$C$41:$C$43)</f>
        <v>0</v>
      </c>
      <c r="V25" s="26">
        <f t="shared" si="5"/>
        <v>19851.828133196017</v>
      </c>
      <c r="W25" s="26">
        <f t="shared" si="6"/>
        <v>-4247.5079580522033</v>
      </c>
      <c r="X25" s="26">
        <f>SUMIF(Supuestos!$B$45:$B$47,A25,Supuestos!$C$45:$C$47)</f>
        <v>0</v>
      </c>
      <c r="Y25" s="26">
        <f>SUMPRODUCT((Supuestos!$B$45:$B$47&lt;=A25)*(Supuestos!$B$45:$B$47+Supuestos!$B$21&gt;A25)*Supuestos!$C$45:$C$47)/Supuestos!$B$21</f>
        <v>166.66666666666666</v>
      </c>
      <c r="Z25" s="26">
        <f t="shared" si="7"/>
        <v>-4414.1746247188703</v>
      </c>
      <c r="AA25" s="26">
        <f>IF(A25&gt;=Supuestos!$B$52,(Supuestos!$B$51-SUM(AC$1:AC24))*Supuestos!$B$53/12,0)</f>
        <v>100</v>
      </c>
      <c r="AB25" s="26">
        <f t="shared" si="8"/>
        <v>-4514.1746247188703</v>
      </c>
      <c r="AC25" s="26">
        <f>IF(AND(A25&gt;Supuestos!$B$52+Supuestos!$B$54,A25&lt;=Supuestos!$B$52+Supuestos!$B$54+Supuestos!$B$55),Supuestos!$B$51/Supuestos!$B$55,0)</f>
        <v>0</v>
      </c>
      <c r="AD25" s="26">
        <f>IF(A25=1,Supuestos!$B$50,0)+IF(A25=Supuestos!$B$52,Supuestos!$B$51,0)+IF(A25=Supuestos!$B$57,Supuestos!$B$56,0)</f>
        <v>0</v>
      </c>
      <c r="AE25" s="26">
        <f t="array" ref="AE25">IF(AND(MOD(A25,12)=0,B25&gt;=2),INDEX(Anual!$B$32:$F$32,1,B25-1),0)</f>
        <v>0</v>
      </c>
      <c r="AF25" s="26">
        <f t="shared" si="10"/>
        <v>72530.215314089815</v>
      </c>
      <c r="AG25" s="14">
        <f>COUNTIF(Plantilla!$D$5:$D$18,"&lt;="&amp;A25)</f>
        <v>6</v>
      </c>
      <c r="AH25" s="14">
        <f t="shared" si="9"/>
        <v>0</v>
      </c>
      <c r="AI25" s="26">
        <f t="array" ref="AI25">SUMPRODUCT((Plantilla!$D$5:$D$18&lt;=A25)*(Plantilla!$C$5:$C$18="Comercial")*INDEX(Plantilla!$E$5:$I$18,0,B25))/12*(1+Supuestos!$B$17)</f>
        <v>5500.0000000000009</v>
      </c>
      <c r="AJ25" s="26">
        <f t="array" ref="AJ25">SUMPRODUCT((Plantilla!$D$5:$D$18&lt;=A25)*(Plantilla!$C$5:$C$18="Customer Success")*INDEX(Plantilla!$E$5:$I$18,0,B25))/12*(1+Supuestos!$B$17)</f>
        <v>2640</v>
      </c>
    </row>
    <row r="26" spans="1:36" ht="15" customHeight="1" x14ac:dyDescent="0.35">
      <c r="A26" s="14">
        <v>25</v>
      </c>
      <c r="B26" s="14">
        <f t="shared" si="0"/>
        <v>3</v>
      </c>
      <c r="C26" s="18">
        <f t="array" ref="C26">IF(A26&lt;Supuestos!$B$13,0,INDEX(Supuestos!$B$27:$F$27,1,$B26)*Supuestos!$B$6)</f>
        <v>6</v>
      </c>
      <c r="D26" s="18">
        <f>IF(A26=Supuestos!$B$13,Supuestos!$B$14,0)</f>
        <v>0</v>
      </c>
      <c r="E26" s="18">
        <f>E25*(1-Supuestos!$B$7)+C26+D26</f>
        <v>59.755039973428488</v>
      </c>
      <c r="F26" s="18">
        <f t="array" ref="F26">INDEX(Supuestos!$B$28:$F$28,1,$B26)</f>
        <v>18</v>
      </c>
      <c r="G26" s="23">
        <f t="shared" si="1"/>
        <v>1075.5907195217128</v>
      </c>
      <c r="H26" s="25">
        <f t="array" ref="H26">(Supuestos!$B$11*(1-INDEX(Supuestos!$B$29:$F$29,1,$B26))+Supuestos!$B$12*INDEX(Supuestos!$B$29:$F$29,1,$B26))*(1-INDEX(Supuestos!$B$30:$F$30,1,$B26))*Supuestos!$B$8</f>
        <v>18.288</v>
      </c>
      <c r="I26" s="26">
        <f t="shared" si="2"/>
        <v>19670.403078613082</v>
      </c>
      <c r="J26" s="26">
        <f t="array" ref="J26">IF(A26&lt;Supuestos!$B$15,0,G26*INDEX(Supuestos!$B$31:$F$31,1,$B26)/12*INDEX(Supuestos!$B$32:$F$32,1,$B26))</f>
        <v>4840.1582378477069</v>
      </c>
      <c r="K26" s="26">
        <f>J26*Supuestos!$B$16</f>
        <v>968.03164756954141</v>
      </c>
      <c r="L26" s="26">
        <f t="shared" si="3"/>
        <v>20638.434726182622</v>
      </c>
      <c r="M26" s="26">
        <f t="array" ref="M26">SUMPRODUCT((Plantilla!$D$5:$D$18&lt;=A26)*INDEX(Plantilla!$E$5:$I$18,0,B26))/12</f>
        <v>16916.666666666668</v>
      </c>
      <c r="N26" s="26">
        <f>M26*Supuestos!$B$17</f>
        <v>5413.3333333333339</v>
      </c>
      <c r="O26" s="26">
        <f t="shared" si="4"/>
        <v>22330</v>
      </c>
      <c r="P26" s="26">
        <f t="array" ref="P26">C26*INDEX(Supuestos!$B$33:$F$33,1,$B26)+INDEX(Supuestos!$B$34:$F$34,1,$B26)+L26*INDEX(Supuestos!$B$35:$F$35,1,$B26)+IF(AND(A26&gt;=4,A26&lt;=6),Supuestos!$B$20/3,0)</f>
        <v>2825.5373890473047</v>
      </c>
      <c r="Q26" s="26">
        <f t="array" ref="Q26">INDEX(Supuestos!$B$36:$F$36,1,$B26)</f>
        <v>800</v>
      </c>
      <c r="R26" s="26">
        <f>G26*Supuestos!$B$18</f>
        <v>107.55907195217128</v>
      </c>
      <c r="S26" s="26">
        <f>L26*Supuestos!$B$19</f>
        <v>309.57652089273932</v>
      </c>
      <c r="T26" s="26">
        <f t="array" ref="T26">INDEX(Supuestos!$B$37:$F$37,1,$B26)</f>
        <v>1120</v>
      </c>
      <c r="U26" s="26">
        <f>SUMIF(Supuestos!$B$41:$B$43,A26,Supuestos!$C$41:$C$43)</f>
        <v>0</v>
      </c>
      <c r="V26" s="26">
        <f t="shared" si="5"/>
        <v>27492.672981892218</v>
      </c>
      <c r="W26" s="26">
        <f t="shared" si="6"/>
        <v>-6854.2382557095953</v>
      </c>
      <c r="X26" s="26">
        <f>SUMIF(Supuestos!$B$45:$B$47,A26,Supuestos!$C$45:$C$47)</f>
        <v>0</v>
      </c>
      <c r="Y26" s="26">
        <f>SUMPRODUCT((Supuestos!$B$45:$B$47&lt;=A26)*(Supuestos!$B$45:$B$47+Supuestos!$B$21&gt;A26)*Supuestos!$C$45:$C$47)/Supuestos!$B$21</f>
        <v>166.66666666666666</v>
      </c>
      <c r="Z26" s="26">
        <f t="shared" si="7"/>
        <v>-7020.9049223762622</v>
      </c>
      <c r="AA26" s="26">
        <f>IF(A26&gt;=Supuestos!$B$52,(Supuestos!$B$51-SUM(AC$1:AC25))*Supuestos!$B$53/12,0)</f>
        <v>100</v>
      </c>
      <c r="AB26" s="26">
        <f t="shared" si="8"/>
        <v>-7120.9049223762622</v>
      </c>
      <c r="AC26" s="26">
        <f>IF(AND(A26&gt;Supuestos!$B$52+Supuestos!$B$54,A26&lt;=Supuestos!$B$52+Supuestos!$B$54+Supuestos!$B$55),Supuestos!$B$51/Supuestos!$B$55,0)</f>
        <v>0</v>
      </c>
      <c r="AD26" s="26">
        <f>IF(A26=1,Supuestos!$B$50,0)+IF(A26=Supuestos!$B$52,Supuestos!$B$51,0)+IF(A26=Supuestos!$B$57,Supuestos!$B$56,0)</f>
        <v>0</v>
      </c>
      <c r="AE26" s="26">
        <f t="array" ref="AE26">IF(AND(MOD(A26,12)=0,B26&gt;=2),INDEX(Anual!$B$32:$F$32,1,B26-1),0)</f>
        <v>0</v>
      </c>
      <c r="AF26" s="26">
        <f t="shared" si="10"/>
        <v>65575.977058380216</v>
      </c>
      <c r="AG26" s="14">
        <f>COUNTIF(Plantilla!$D$5:$D$18,"&lt;="&amp;A26)</f>
        <v>7</v>
      </c>
      <c r="AH26" s="14">
        <f t="shared" si="9"/>
        <v>0</v>
      </c>
      <c r="AI26" s="26">
        <f t="array" ref="AI26">SUMPRODUCT((Plantilla!$D$5:$D$18&lt;=A26)*(Plantilla!$C$5:$C$18="Comercial")*INDEX(Plantilla!$E$5:$I$18,0,B26))/12*(1+Supuestos!$B$17)</f>
        <v>6270</v>
      </c>
      <c r="AJ26" s="26">
        <f t="array" ref="AJ26">SUMPRODUCT((Plantilla!$D$5:$D$18&lt;=A26)*(Plantilla!$C$5:$C$18="Customer Success")*INDEX(Plantilla!$E$5:$I$18,0,B26))/12*(1+Supuestos!$B$17)</f>
        <v>3300</v>
      </c>
    </row>
    <row r="27" spans="1:36" ht="15" customHeight="1" x14ac:dyDescent="0.35">
      <c r="A27" s="14">
        <v>26</v>
      </c>
      <c r="B27" s="14">
        <f t="shared" si="0"/>
        <v>3</v>
      </c>
      <c r="C27" s="18">
        <f t="array" ref="C27">IF(A27&lt;Supuestos!$B$13,0,INDEX(Supuestos!$B$27:$F$27,1,$B27)*Supuestos!$B$6)</f>
        <v>6</v>
      </c>
      <c r="D27" s="18">
        <f>IF(A27=Supuestos!$B$13,Supuestos!$B$14,0)</f>
        <v>0</v>
      </c>
      <c r="E27" s="18">
        <f>E26*(1-Supuestos!$B$7)+C27+D27</f>
        <v>64.559939173959918</v>
      </c>
      <c r="F27" s="18">
        <f t="array" ref="F27">INDEX(Supuestos!$B$28:$F$28,1,$B27)</f>
        <v>18</v>
      </c>
      <c r="G27" s="23">
        <f t="shared" si="1"/>
        <v>1162.0789051312786</v>
      </c>
      <c r="H27" s="25">
        <f t="array" ref="H27">(Supuestos!$B$11*(1-INDEX(Supuestos!$B$29:$F$29,1,$B27))+Supuestos!$B$12*INDEX(Supuestos!$B$29:$F$29,1,$B27))*(1-INDEX(Supuestos!$B$30:$F$30,1,$B27))*Supuestos!$B$8</f>
        <v>18.288</v>
      </c>
      <c r="I27" s="26">
        <f t="shared" si="2"/>
        <v>21252.099017040822</v>
      </c>
      <c r="J27" s="26">
        <f t="array" ref="J27">IF(A27&lt;Supuestos!$B$15,0,G27*INDEX(Supuestos!$B$31:$F$31,1,$B27)/12*INDEX(Supuestos!$B$32:$F$32,1,$B27))</f>
        <v>5229.3550730907536</v>
      </c>
      <c r="K27" s="26">
        <f>J27*Supuestos!$B$16</f>
        <v>1045.8710146181509</v>
      </c>
      <c r="L27" s="26">
        <f t="shared" si="3"/>
        <v>22297.970031658973</v>
      </c>
      <c r="M27" s="26">
        <f t="array" ref="M27">SUMPRODUCT((Plantilla!$D$5:$D$18&lt;=A27)*INDEX(Plantilla!$E$5:$I$18,0,B27))/12</f>
        <v>16916.666666666668</v>
      </c>
      <c r="N27" s="26">
        <f>M27*Supuestos!$B$17</f>
        <v>5413.3333333333339</v>
      </c>
      <c r="O27" s="26">
        <f t="shared" si="4"/>
        <v>22330</v>
      </c>
      <c r="P27" s="26">
        <f t="array" ref="P27">C27*INDEX(Supuestos!$B$33:$F$33,1,$B27)+INDEX(Supuestos!$B$34:$F$34,1,$B27)+L27*INDEX(Supuestos!$B$35:$F$35,1,$B27)+IF(AND(A27&gt;=4,A27&lt;=6),Supuestos!$B$20/3,0)</f>
        <v>2891.918801266359</v>
      </c>
      <c r="Q27" s="26">
        <f t="array" ref="Q27">INDEX(Supuestos!$B$36:$F$36,1,$B27)</f>
        <v>800</v>
      </c>
      <c r="R27" s="26">
        <f>G27*Supuestos!$B$18</f>
        <v>116.20789051312786</v>
      </c>
      <c r="S27" s="26">
        <f>L27*Supuestos!$B$19</f>
        <v>334.46955047488461</v>
      </c>
      <c r="T27" s="26">
        <f t="array" ref="T27">INDEX(Supuestos!$B$37:$F$37,1,$B27)</f>
        <v>1120</v>
      </c>
      <c r="U27" s="26">
        <f>SUMIF(Supuestos!$B$41:$B$43,A27,Supuestos!$C$41:$C$43)</f>
        <v>0</v>
      </c>
      <c r="V27" s="26">
        <f t="shared" si="5"/>
        <v>27592.596242254371</v>
      </c>
      <c r="W27" s="26">
        <f t="shared" si="6"/>
        <v>-5294.6262105953974</v>
      </c>
      <c r="X27" s="26">
        <f>SUMIF(Supuestos!$B$45:$B$47,A27,Supuestos!$C$45:$C$47)</f>
        <v>0</v>
      </c>
      <c r="Y27" s="26">
        <f>SUMPRODUCT((Supuestos!$B$45:$B$47&lt;=A27)*(Supuestos!$B$45:$B$47+Supuestos!$B$21&gt;A27)*Supuestos!$C$45:$C$47)/Supuestos!$B$21</f>
        <v>166.66666666666666</v>
      </c>
      <c r="Z27" s="26">
        <f t="shared" si="7"/>
        <v>-5461.2928772620644</v>
      </c>
      <c r="AA27" s="26">
        <f>IF(A27&gt;=Supuestos!$B$52,(Supuestos!$B$51-SUM(AC$1:AC26))*Supuestos!$B$53/12,0)</f>
        <v>100</v>
      </c>
      <c r="AB27" s="26">
        <f t="shared" si="8"/>
        <v>-5561.2928772620644</v>
      </c>
      <c r="AC27" s="26">
        <f>IF(AND(A27&gt;Supuestos!$B$52+Supuestos!$B$54,A27&lt;=Supuestos!$B$52+Supuestos!$B$54+Supuestos!$B$55),Supuestos!$B$51/Supuestos!$B$55,0)</f>
        <v>0</v>
      </c>
      <c r="AD27" s="26">
        <f>IF(A27=1,Supuestos!$B$50,0)+IF(A27=Supuestos!$B$52,Supuestos!$B$51,0)+IF(A27=Supuestos!$B$57,Supuestos!$B$56,0)</f>
        <v>0</v>
      </c>
      <c r="AE27" s="26">
        <f t="array" ref="AE27">IF(AND(MOD(A27,12)=0,B27&gt;=2),INDEX(Anual!$B$32:$F$32,1,B27-1),0)</f>
        <v>0</v>
      </c>
      <c r="AF27" s="26">
        <f t="shared" si="10"/>
        <v>60181.350847784823</v>
      </c>
      <c r="AG27" s="14">
        <f>COUNTIF(Plantilla!$D$5:$D$18,"&lt;="&amp;A27)</f>
        <v>7</v>
      </c>
      <c r="AH27" s="14">
        <f t="shared" si="9"/>
        <v>0</v>
      </c>
      <c r="AI27" s="26">
        <f t="array" ref="AI27">SUMPRODUCT((Plantilla!$D$5:$D$18&lt;=A27)*(Plantilla!$C$5:$C$18="Comercial")*INDEX(Plantilla!$E$5:$I$18,0,B27))/12*(1+Supuestos!$B$17)</f>
        <v>6270</v>
      </c>
      <c r="AJ27" s="26">
        <f t="array" ref="AJ27">SUMPRODUCT((Plantilla!$D$5:$D$18&lt;=A27)*(Plantilla!$C$5:$C$18="Customer Success")*INDEX(Plantilla!$E$5:$I$18,0,B27))/12*(1+Supuestos!$B$17)</f>
        <v>3300</v>
      </c>
    </row>
    <row r="28" spans="1:36" ht="15" customHeight="1" x14ac:dyDescent="0.35">
      <c r="A28" s="14">
        <v>27</v>
      </c>
      <c r="B28" s="14">
        <f t="shared" si="0"/>
        <v>3</v>
      </c>
      <c r="C28" s="18">
        <f t="array" ref="C28">IF(A28&lt;Supuestos!$B$13,0,INDEX(Supuestos!$B$27:$F$27,1,$B28)*Supuestos!$B$6)</f>
        <v>6</v>
      </c>
      <c r="D28" s="18">
        <f>IF(A28=Supuestos!$B$13,Supuestos!$B$14,0)</f>
        <v>0</v>
      </c>
      <c r="E28" s="18">
        <f>E27*(1-Supuestos!$B$7)+C28+D28</f>
        <v>69.268740390480716</v>
      </c>
      <c r="F28" s="18">
        <f t="array" ref="F28">INDEX(Supuestos!$B$28:$F$28,1,$B28)</f>
        <v>18</v>
      </c>
      <c r="G28" s="23">
        <f t="shared" si="1"/>
        <v>1246.8373270286529</v>
      </c>
      <c r="H28" s="25">
        <f t="array" ref="H28">(Supuestos!$B$11*(1-INDEX(Supuestos!$B$29:$F$29,1,$B28))+Supuestos!$B$12*INDEX(Supuestos!$B$29:$F$29,1,$B28))*(1-INDEX(Supuestos!$B$30:$F$30,1,$B28))*Supuestos!$B$8</f>
        <v>18.288</v>
      </c>
      <c r="I28" s="26">
        <f t="shared" si="2"/>
        <v>22802.161036700003</v>
      </c>
      <c r="J28" s="26">
        <f t="array" ref="J28">IF(A28&lt;Supuestos!$B$15,0,G28*INDEX(Supuestos!$B$31:$F$31,1,$B28)/12*INDEX(Supuestos!$B$32:$F$32,1,$B28))</f>
        <v>5610.7679716289376</v>
      </c>
      <c r="K28" s="26">
        <f>J28*Supuestos!$B$16</f>
        <v>1122.1535943257875</v>
      </c>
      <c r="L28" s="26">
        <f t="shared" si="3"/>
        <v>23924.314631025791</v>
      </c>
      <c r="M28" s="26">
        <f t="array" ref="M28">SUMPRODUCT((Plantilla!$D$5:$D$18&lt;=A28)*INDEX(Plantilla!$E$5:$I$18,0,B28))/12</f>
        <v>16916.666666666668</v>
      </c>
      <c r="N28" s="26">
        <f>M28*Supuestos!$B$17</f>
        <v>5413.3333333333339</v>
      </c>
      <c r="O28" s="26">
        <f t="shared" si="4"/>
        <v>22330</v>
      </c>
      <c r="P28" s="26">
        <f t="array" ref="P28">C28*INDEX(Supuestos!$B$33:$F$33,1,$B28)+INDEX(Supuestos!$B$34:$F$34,1,$B28)+L28*INDEX(Supuestos!$B$35:$F$35,1,$B28)+IF(AND(A28&gt;=4,A28&lt;=6),Supuestos!$B$20/3,0)</f>
        <v>2956.9725852410315</v>
      </c>
      <c r="Q28" s="26">
        <f t="array" ref="Q28">INDEX(Supuestos!$B$36:$F$36,1,$B28)</f>
        <v>800</v>
      </c>
      <c r="R28" s="26">
        <f>G28*Supuestos!$B$18</f>
        <v>124.6837327028653</v>
      </c>
      <c r="S28" s="26">
        <f>L28*Supuestos!$B$19</f>
        <v>358.86471946538683</v>
      </c>
      <c r="T28" s="26">
        <f t="array" ref="T28">INDEX(Supuestos!$B$37:$F$37,1,$B28)</f>
        <v>1120</v>
      </c>
      <c r="U28" s="26">
        <f>SUMIF(Supuestos!$B$41:$B$43,A28,Supuestos!$C$41:$C$43)</f>
        <v>0</v>
      </c>
      <c r="V28" s="26">
        <f t="shared" si="5"/>
        <v>27690.521037409282</v>
      </c>
      <c r="W28" s="26">
        <f t="shared" si="6"/>
        <v>-3766.2064063834914</v>
      </c>
      <c r="X28" s="26">
        <f>SUMIF(Supuestos!$B$45:$B$47,A28,Supuestos!$C$45:$C$47)</f>
        <v>0</v>
      </c>
      <c r="Y28" s="26">
        <f>SUMPRODUCT((Supuestos!$B$45:$B$47&lt;=A28)*(Supuestos!$B$45:$B$47+Supuestos!$B$21&gt;A28)*Supuestos!$C$45:$C$47)/Supuestos!$B$21</f>
        <v>166.66666666666666</v>
      </c>
      <c r="Z28" s="26">
        <f t="shared" si="7"/>
        <v>-3932.8730730501579</v>
      </c>
      <c r="AA28" s="26">
        <f>IF(A28&gt;=Supuestos!$B$52,(Supuestos!$B$51-SUM(AC$1:AC27))*Supuestos!$B$53/12,0)</f>
        <v>100</v>
      </c>
      <c r="AB28" s="26">
        <f t="shared" si="8"/>
        <v>-4032.8730730501579</v>
      </c>
      <c r="AC28" s="26">
        <f>IF(AND(A28&gt;Supuestos!$B$52+Supuestos!$B$54,A28&lt;=Supuestos!$B$52+Supuestos!$B$54+Supuestos!$B$55),Supuestos!$B$51/Supuestos!$B$55,0)</f>
        <v>0</v>
      </c>
      <c r="AD28" s="26">
        <f>IF(A28=1,Supuestos!$B$50,0)+IF(A28=Supuestos!$B$52,Supuestos!$B$51,0)+IF(A28=Supuestos!$B$57,Supuestos!$B$56,0)</f>
        <v>0</v>
      </c>
      <c r="AE28" s="26">
        <f t="array" ref="AE28">IF(AND(MOD(A28,12)=0,B28&gt;=2),INDEX(Anual!$B$32:$F$32,1,B28-1),0)</f>
        <v>0</v>
      </c>
      <c r="AF28" s="26">
        <f t="shared" si="10"/>
        <v>56315.144441401324</v>
      </c>
      <c r="AG28" s="14">
        <f>COUNTIF(Plantilla!$D$5:$D$18,"&lt;="&amp;A28)</f>
        <v>7</v>
      </c>
      <c r="AH28" s="14">
        <f t="shared" si="9"/>
        <v>0</v>
      </c>
      <c r="AI28" s="26">
        <f t="array" ref="AI28">SUMPRODUCT((Plantilla!$D$5:$D$18&lt;=A28)*(Plantilla!$C$5:$C$18="Comercial")*INDEX(Plantilla!$E$5:$I$18,0,B28))/12*(1+Supuestos!$B$17)</f>
        <v>6270</v>
      </c>
      <c r="AJ28" s="26">
        <f t="array" ref="AJ28">SUMPRODUCT((Plantilla!$D$5:$D$18&lt;=A28)*(Plantilla!$C$5:$C$18="Customer Success")*INDEX(Plantilla!$E$5:$I$18,0,B28))/12*(1+Supuestos!$B$17)</f>
        <v>3300</v>
      </c>
    </row>
    <row r="29" spans="1:36" ht="15" customHeight="1" x14ac:dyDescent="0.35">
      <c r="A29" s="14">
        <v>28</v>
      </c>
      <c r="B29" s="14">
        <f t="shared" si="0"/>
        <v>3</v>
      </c>
      <c r="C29" s="18">
        <f t="array" ref="C29">IF(A29&lt;Supuestos!$B$13,0,INDEX(Supuestos!$B$27:$F$27,1,$B29)*Supuestos!$B$6)</f>
        <v>6</v>
      </c>
      <c r="D29" s="18">
        <f>IF(A29=Supuestos!$B$13,Supuestos!$B$14,0)</f>
        <v>0</v>
      </c>
      <c r="E29" s="18">
        <f>E28*(1-Supuestos!$B$7)+C29+D29</f>
        <v>73.883365582671104</v>
      </c>
      <c r="F29" s="18">
        <f t="array" ref="F29">INDEX(Supuestos!$B$28:$F$28,1,$B29)</f>
        <v>18</v>
      </c>
      <c r="G29" s="23">
        <f t="shared" si="1"/>
        <v>1329.9005804880799</v>
      </c>
      <c r="H29" s="25">
        <f t="array" ref="H29">(Supuestos!$B$11*(1-INDEX(Supuestos!$B$29:$F$29,1,$B29))+Supuestos!$B$12*INDEX(Supuestos!$B$29:$F$29,1,$B29))*(1-INDEX(Supuestos!$B$30:$F$30,1,$B29))*Supuestos!$B$8</f>
        <v>18.288</v>
      </c>
      <c r="I29" s="26">
        <f t="shared" si="2"/>
        <v>24321.221815966004</v>
      </c>
      <c r="J29" s="26">
        <f t="array" ref="J29">IF(A29&lt;Supuestos!$B$15,0,G29*INDEX(Supuestos!$B$31:$F$31,1,$B29)/12*INDEX(Supuestos!$B$32:$F$32,1,$B29))</f>
        <v>5984.5526121963594</v>
      </c>
      <c r="K29" s="26">
        <f>J29*Supuestos!$B$16</f>
        <v>1196.910522439272</v>
      </c>
      <c r="L29" s="26">
        <f t="shared" si="3"/>
        <v>25518.132338405278</v>
      </c>
      <c r="M29" s="26">
        <f t="array" ref="M29">SUMPRODUCT((Plantilla!$D$5:$D$18&lt;=A29)*INDEX(Plantilla!$E$5:$I$18,0,B29))/12</f>
        <v>16916.666666666668</v>
      </c>
      <c r="N29" s="26">
        <f>M29*Supuestos!$B$17</f>
        <v>5413.3333333333339</v>
      </c>
      <c r="O29" s="26">
        <f t="shared" si="4"/>
        <v>22330</v>
      </c>
      <c r="P29" s="26">
        <f t="array" ref="P29">C29*INDEX(Supuestos!$B$33:$F$33,1,$B29)+INDEX(Supuestos!$B$34:$F$34,1,$B29)+L29*INDEX(Supuestos!$B$35:$F$35,1,$B29)+IF(AND(A29&gt;=4,A29&lt;=6),Supuestos!$B$20/3,0)</f>
        <v>3020.7252935362112</v>
      </c>
      <c r="Q29" s="26">
        <f t="array" ref="Q29">INDEX(Supuestos!$B$36:$F$36,1,$B29)</f>
        <v>800</v>
      </c>
      <c r="R29" s="26">
        <f>G29*Supuestos!$B$18</f>
        <v>132.99005804880798</v>
      </c>
      <c r="S29" s="26">
        <f>L29*Supuestos!$B$19</f>
        <v>382.77198507607915</v>
      </c>
      <c r="T29" s="26">
        <f t="array" ref="T29">INDEX(Supuestos!$B$37:$F$37,1,$B29)</f>
        <v>1120</v>
      </c>
      <c r="U29" s="26">
        <f>SUMIF(Supuestos!$B$41:$B$43,A29,Supuestos!$C$41:$C$43)</f>
        <v>0</v>
      </c>
      <c r="V29" s="26">
        <f t="shared" si="5"/>
        <v>27786.487336661099</v>
      </c>
      <c r="W29" s="26">
        <f t="shared" si="6"/>
        <v>-2268.3549982558216</v>
      </c>
      <c r="X29" s="26">
        <f>SUMIF(Supuestos!$B$45:$B$47,A29,Supuestos!$C$45:$C$47)</f>
        <v>0</v>
      </c>
      <c r="Y29" s="26">
        <f>SUMPRODUCT((Supuestos!$B$45:$B$47&lt;=A29)*(Supuestos!$B$45:$B$47+Supuestos!$B$21&gt;A29)*Supuestos!$C$45:$C$47)/Supuestos!$B$21</f>
        <v>166.66666666666666</v>
      </c>
      <c r="Z29" s="26">
        <f t="shared" si="7"/>
        <v>-2435.0216649224881</v>
      </c>
      <c r="AA29" s="26">
        <f>IF(A29&gt;=Supuestos!$B$52,(Supuestos!$B$51-SUM(AC$1:AC28))*Supuestos!$B$53/12,0)</f>
        <v>100</v>
      </c>
      <c r="AB29" s="26">
        <f t="shared" si="8"/>
        <v>-2535.0216649224881</v>
      </c>
      <c r="AC29" s="26">
        <f>IF(AND(A29&gt;Supuestos!$B$52+Supuestos!$B$54,A29&lt;=Supuestos!$B$52+Supuestos!$B$54+Supuestos!$B$55),Supuestos!$B$51/Supuestos!$B$55,0)</f>
        <v>0</v>
      </c>
      <c r="AD29" s="26">
        <f>IF(A29=1,Supuestos!$B$50,0)+IF(A29=Supuestos!$B$52,Supuestos!$B$51,0)+IF(A29=Supuestos!$B$57,Supuestos!$B$56,0)</f>
        <v>0</v>
      </c>
      <c r="AE29" s="26">
        <f t="array" ref="AE29">IF(AND(MOD(A29,12)=0,B29&gt;=2),INDEX(Anual!$B$32:$F$32,1,B29-1),0)</f>
        <v>0</v>
      </c>
      <c r="AF29" s="26">
        <f t="shared" si="10"/>
        <v>53946.789443145506</v>
      </c>
      <c r="AG29" s="14">
        <f>COUNTIF(Plantilla!$D$5:$D$18,"&lt;="&amp;A29)</f>
        <v>7</v>
      </c>
      <c r="AH29" s="14">
        <f t="shared" si="9"/>
        <v>0</v>
      </c>
      <c r="AI29" s="26">
        <f t="array" ref="AI29">SUMPRODUCT((Plantilla!$D$5:$D$18&lt;=A29)*(Plantilla!$C$5:$C$18="Comercial")*INDEX(Plantilla!$E$5:$I$18,0,B29))/12*(1+Supuestos!$B$17)</f>
        <v>6270</v>
      </c>
      <c r="AJ29" s="26">
        <f t="array" ref="AJ29">SUMPRODUCT((Plantilla!$D$5:$D$18&lt;=A29)*(Plantilla!$C$5:$C$18="Customer Success")*INDEX(Plantilla!$E$5:$I$18,0,B29))/12*(1+Supuestos!$B$17)</f>
        <v>3300</v>
      </c>
    </row>
    <row r="30" spans="1:36" ht="15" customHeight="1" x14ac:dyDescent="0.35">
      <c r="A30" s="14">
        <v>29</v>
      </c>
      <c r="B30" s="14">
        <f t="shared" si="0"/>
        <v>3</v>
      </c>
      <c r="C30" s="18">
        <f t="array" ref="C30">IF(A30&lt;Supuestos!$B$13,0,INDEX(Supuestos!$B$27:$F$27,1,$B30)*Supuestos!$B$6)</f>
        <v>6</v>
      </c>
      <c r="D30" s="18">
        <f>IF(A30=Supuestos!$B$13,Supuestos!$B$14,0)</f>
        <v>0</v>
      </c>
      <c r="E30" s="18">
        <f>E29*(1-Supuestos!$B$7)+C30+D30</f>
        <v>78.405698271017684</v>
      </c>
      <c r="F30" s="18">
        <f t="array" ref="F30">INDEX(Supuestos!$B$28:$F$28,1,$B30)</f>
        <v>18</v>
      </c>
      <c r="G30" s="23">
        <f t="shared" si="1"/>
        <v>1411.3025688783182</v>
      </c>
      <c r="H30" s="25">
        <f t="array" ref="H30">(Supuestos!$B$11*(1-INDEX(Supuestos!$B$29:$F$29,1,$B30))+Supuestos!$B$12*INDEX(Supuestos!$B$29:$F$29,1,$B30))*(1-INDEX(Supuestos!$B$30:$F$30,1,$B30))*Supuestos!$B$8</f>
        <v>18.288</v>
      </c>
      <c r="I30" s="26">
        <f t="shared" si="2"/>
        <v>25809.901379646682</v>
      </c>
      <c r="J30" s="26">
        <f t="array" ref="J30">IF(A30&lt;Supuestos!$B$15,0,G30*INDEX(Supuestos!$B$31:$F$31,1,$B30)/12*INDEX(Supuestos!$B$32:$F$32,1,$B30))</f>
        <v>6350.861559952431</v>
      </c>
      <c r="K30" s="26">
        <f>J30*Supuestos!$B$16</f>
        <v>1270.1723119904864</v>
      </c>
      <c r="L30" s="26">
        <f t="shared" si="3"/>
        <v>27080.073691637168</v>
      </c>
      <c r="M30" s="26">
        <f t="array" ref="M30">SUMPRODUCT((Plantilla!$D$5:$D$18&lt;=A30)*INDEX(Plantilla!$E$5:$I$18,0,B30))/12</f>
        <v>16916.666666666668</v>
      </c>
      <c r="N30" s="26">
        <f>M30*Supuestos!$B$17</f>
        <v>5413.3333333333339</v>
      </c>
      <c r="O30" s="26">
        <f t="shared" si="4"/>
        <v>22330</v>
      </c>
      <c r="P30" s="26">
        <f t="array" ref="P30">C30*INDEX(Supuestos!$B$33:$F$33,1,$B30)+INDEX(Supuestos!$B$34:$F$34,1,$B30)+L30*INDEX(Supuestos!$B$35:$F$35,1,$B30)+IF(AND(A30&gt;=4,A30&lt;=6),Supuestos!$B$20/3,0)</f>
        <v>3083.202947665487</v>
      </c>
      <c r="Q30" s="26">
        <f t="array" ref="Q30">INDEX(Supuestos!$B$36:$F$36,1,$B30)</f>
        <v>800</v>
      </c>
      <c r="R30" s="26">
        <f>G30*Supuestos!$B$18</f>
        <v>141.13025688783182</v>
      </c>
      <c r="S30" s="26">
        <f>L30*Supuestos!$B$19</f>
        <v>406.20110537455753</v>
      </c>
      <c r="T30" s="26">
        <f t="array" ref="T30">INDEX(Supuestos!$B$37:$F$37,1,$B30)</f>
        <v>1120</v>
      </c>
      <c r="U30" s="26">
        <f>SUMIF(Supuestos!$B$41:$B$43,A30,Supuestos!$C$41:$C$43)</f>
        <v>0</v>
      </c>
      <c r="V30" s="26">
        <f t="shared" si="5"/>
        <v>27880.534309927876</v>
      </c>
      <c r="W30" s="26">
        <f t="shared" si="6"/>
        <v>-800.46061829070823</v>
      </c>
      <c r="X30" s="26">
        <f>SUMIF(Supuestos!$B$45:$B$47,A30,Supuestos!$C$45:$C$47)</f>
        <v>0</v>
      </c>
      <c r="Y30" s="26">
        <f>SUMPRODUCT((Supuestos!$B$45:$B$47&lt;=A30)*(Supuestos!$B$45:$B$47+Supuestos!$B$21&gt;A30)*Supuestos!$C$45:$C$47)/Supuestos!$B$21</f>
        <v>166.66666666666666</v>
      </c>
      <c r="Z30" s="26">
        <f t="shared" si="7"/>
        <v>-967.12728495737485</v>
      </c>
      <c r="AA30" s="26">
        <f>IF(A30&gt;=Supuestos!$B$52,(Supuestos!$B$51-SUM(AC$1:AC29))*Supuestos!$B$53/12,0)</f>
        <v>100</v>
      </c>
      <c r="AB30" s="26">
        <f t="shared" si="8"/>
        <v>-1067.1272849573747</v>
      </c>
      <c r="AC30" s="26">
        <f>IF(AND(A30&gt;Supuestos!$B$52+Supuestos!$B$54,A30&lt;=Supuestos!$B$52+Supuestos!$B$54+Supuestos!$B$55),Supuestos!$B$51/Supuestos!$B$55,0)</f>
        <v>0</v>
      </c>
      <c r="AD30" s="26">
        <f>IF(A30=1,Supuestos!$B$50,0)+IF(A30=Supuestos!$B$52,Supuestos!$B$51,0)+IF(A30=Supuestos!$B$57,Supuestos!$B$56,0)</f>
        <v>0</v>
      </c>
      <c r="AE30" s="26">
        <f t="array" ref="AE30">IF(AND(MOD(A30,12)=0,B30&gt;=2),INDEX(Anual!$B$32:$F$32,1,B30-1),0)</f>
        <v>0</v>
      </c>
      <c r="AF30" s="26">
        <f t="shared" si="10"/>
        <v>53046.328824854798</v>
      </c>
      <c r="AG30" s="14">
        <f>COUNTIF(Plantilla!$D$5:$D$18,"&lt;="&amp;A30)</f>
        <v>7</v>
      </c>
      <c r="AH30" s="14">
        <f t="shared" si="9"/>
        <v>0</v>
      </c>
      <c r="AI30" s="26">
        <f t="array" ref="AI30">SUMPRODUCT((Plantilla!$D$5:$D$18&lt;=A30)*(Plantilla!$C$5:$C$18="Comercial")*INDEX(Plantilla!$E$5:$I$18,0,B30))/12*(1+Supuestos!$B$17)</f>
        <v>6270</v>
      </c>
      <c r="AJ30" s="26">
        <f t="array" ref="AJ30">SUMPRODUCT((Plantilla!$D$5:$D$18&lt;=A30)*(Plantilla!$C$5:$C$18="Customer Success")*INDEX(Plantilla!$E$5:$I$18,0,B30))/12*(1+Supuestos!$B$17)</f>
        <v>3300</v>
      </c>
    </row>
    <row r="31" spans="1:36" ht="15" customHeight="1" x14ac:dyDescent="0.35">
      <c r="A31" s="14">
        <v>30</v>
      </c>
      <c r="B31" s="14">
        <f t="shared" si="0"/>
        <v>3</v>
      </c>
      <c r="C31" s="18">
        <f t="array" ref="C31">IF(A31&lt;Supuestos!$B$13,0,INDEX(Supuestos!$B$27:$F$27,1,$B31)*Supuestos!$B$6)</f>
        <v>6</v>
      </c>
      <c r="D31" s="18">
        <f>IF(A31=Supuestos!$B$13,Supuestos!$B$14,0)</f>
        <v>0</v>
      </c>
      <c r="E31" s="18">
        <f>E30*(1-Supuestos!$B$7)+C31+D31</f>
        <v>82.837584305597332</v>
      </c>
      <c r="F31" s="18">
        <f t="array" ref="F31">INDEX(Supuestos!$B$28:$F$28,1,$B31)</f>
        <v>18</v>
      </c>
      <c r="G31" s="23">
        <f t="shared" si="1"/>
        <v>1491.0765175007521</v>
      </c>
      <c r="H31" s="25">
        <f t="array" ref="H31">(Supuestos!$B$11*(1-INDEX(Supuestos!$B$29:$F$29,1,$B31))+Supuestos!$B$12*INDEX(Supuestos!$B$29:$F$29,1,$B31))*(1-INDEX(Supuestos!$B$30:$F$30,1,$B31))*Supuestos!$B$8</f>
        <v>18.288</v>
      </c>
      <c r="I31" s="26">
        <f t="shared" si="2"/>
        <v>27268.807352053755</v>
      </c>
      <c r="J31" s="26">
        <f t="array" ref="J31">IF(A31&lt;Supuestos!$B$15,0,G31*INDEX(Supuestos!$B$31:$F$31,1,$B31)/12*INDEX(Supuestos!$B$32:$F$32,1,$B31))</f>
        <v>6709.8443287533837</v>
      </c>
      <c r="K31" s="26">
        <f>J31*Supuestos!$B$16</f>
        <v>1341.9688657506767</v>
      </c>
      <c r="L31" s="26">
        <f t="shared" si="3"/>
        <v>28610.776217804432</v>
      </c>
      <c r="M31" s="26">
        <f t="array" ref="M31">SUMPRODUCT((Plantilla!$D$5:$D$18&lt;=A31)*INDEX(Plantilla!$E$5:$I$18,0,B31))/12</f>
        <v>16916.666666666668</v>
      </c>
      <c r="N31" s="26">
        <f>M31*Supuestos!$B$17</f>
        <v>5413.3333333333339</v>
      </c>
      <c r="O31" s="26">
        <f t="shared" si="4"/>
        <v>22330</v>
      </c>
      <c r="P31" s="26">
        <f t="array" ref="P31">C31*INDEX(Supuestos!$B$33:$F$33,1,$B31)+INDEX(Supuestos!$B$34:$F$34,1,$B31)+L31*INDEX(Supuestos!$B$35:$F$35,1,$B31)+IF(AND(A31&gt;=4,A31&lt;=6),Supuestos!$B$20/3,0)</f>
        <v>3144.4310487121775</v>
      </c>
      <c r="Q31" s="26">
        <f t="array" ref="Q31">INDEX(Supuestos!$B$36:$F$36,1,$B31)</f>
        <v>800</v>
      </c>
      <c r="R31" s="26">
        <f>G31*Supuestos!$B$18</f>
        <v>149.10765175007521</v>
      </c>
      <c r="S31" s="26">
        <f>L31*Supuestos!$B$19</f>
        <v>429.16164326706649</v>
      </c>
      <c r="T31" s="26">
        <f t="array" ref="T31">INDEX(Supuestos!$B$37:$F$37,1,$B31)</f>
        <v>1120</v>
      </c>
      <c r="U31" s="26">
        <f>SUMIF(Supuestos!$B$41:$B$43,A31,Supuestos!$C$41:$C$43)</f>
        <v>0</v>
      </c>
      <c r="V31" s="26">
        <f t="shared" si="5"/>
        <v>27972.700343729321</v>
      </c>
      <c r="W31" s="26">
        <f t="shared" si="6"/>
        <v>638.07587407511164</v>
      </c>
      <c r="X31" s="26">
        <f>SUMIF(Supuestos!$B$45:$B$47,A31,Supuestos!$C$45:$C$47)</f>
        <v>0</v>
      </c>
      <c r="Y31" s="26">
        <f>SUMPRODUCT((Supuestos!$B$45:$B$47&lt;=A31)*(Supuestos!$B$45:$B$47+Supuestos!$B$21&gt;A31)*Supuestos!$C$45:$C$47)/Supuestos!$B$21</f>
        <v>166.66666666666666</v>
      </c>
      <c r="Z31" s="26">
        <f t="shared" si="7"/>
        <v>471.40920740844501</v>
      </c>
      <c r="AA31" s="26">
        <f>IF(A31&gt;=Supuestos!$B$52,(Supuestos!$B$51-SUM(AC$1:AC30))*Supuestos!$B$53/12,0)</f>
        <v>100</v>
      </c>
      <c r="AB31" s="26">
        <f t="shared" si="8"/>
        <v>371.40920740844501</v>
      </c>
      <c r="AC31" s="26">
        <f>IF(AND(A31&gt;Supuestos!$B$52+Supuestos!$B$54,A31&lt;=Supuestos!$B$52+Supuestos!$B$54+Supuestos!$B$55),Supuestos!$B$51/Supuestos!$B$55,0)</f>
        <v>0</v>
      </c>
      <c r="AD31" s="26">
        <f>IF(A31=1,Supuestos!$B$50,0)+IF(A31=Supuestos!$B$52,Supuestos!$B$51,0)+IF(A31=Supuestos!$B$57,Supuestos!$B$56,0)</f>
        <v>0</v>
      </c>
      <c r="AE31" s="26">
        <f t="array" ref="AE31">IF(AND(MOD(A31,12)=0,B31&gt;=2),INDEX(Anual!$B$32:$F$32,1,B31-1),0)</f>
        <v>0</v>
      </c>
      <c r="AF31" s="26">
        <f t="shared" si="10"/>
        <v>53584.40469892991</v>
      </c>
      <c r="AG31" s="14">
        <f>COUNTIF(Plantilla!$D$5:$D$18,"&lt;="&amp;A31)</f>
        <v>7</v>
      </c>
      <c r="AH31" s="14">
        <f t="shared" si="9"/>
        <v>0</v>
      </c>
      <c r="AI31" s="26">
        <f t="array" ref="AI31">SUMPRODUCT((Plantilla!$D$5:$D$18&lt;=A31)*(Plantilla!$C$5:$C$18="Comercial")*INDEX(Plantilla!$E$5:$I$18,0,B31))/12*(1+Supuestos!$B$17)</f>
        <v>6270</v>
      </c>
      <c r="AJ31" s="26">
        <f t="array" ref="AJ31">SUMPRODUCT((Plantilla!$D$5:$D$18&lt;=A31)*(Plantilla!$C$5:$C$18="Customer Success")*INDEX(Plantilla!$E$5:$I$18,0,B31))/12*(1+Supuestos!$B$17)</f>
        <v>3300</v>
      </c>
    </row>
    <row r="32" spans="1:36" ht="15" customHeight="1" x14ac:dyDescent="0.35">
      <c r="A32" s="14">
        <v>31</v>
      </c>
      <c r="B32" s="14">
        <f t="shared" si="0"/>
        <v>3</v>
      </c>
      <c r="C32" s="18">
        <f t="array" ref="C32">IF(A32&lt;Supuestos!$B$13,0,INDEX(Supuestos!$B$27:$F$27,1,$B32)*Supuestos!$B$6)</f>
        <v>6</v>
      </c>
      <c r="D32" s="18">
        <f>IF(A32=Supuestos!$B$13,Supuestos!$B$14,0)</f>
        <v>0</v>
      </c>
      <c r="E32" s="18">
        <f>E31*(1-Supuestos!$B$7)+C32+D32</f>
        <v>87.180832619485386</v>
      </c>
      <c r="F32" s="18">
        <f t="array" ref="F32">INDEX(Supuestos!$B$28:$F$28,1,$B32)</f>
        <v>18</v>
      </c>
      <c r="G32" s="23">
        <f t="shared" si="1"/>
        <v>1569.254987150737</v>
      </c>
      <c r="H32" s="25">
        <f t="array" ref="H32">(Supuestos!$B$11*(1-INDEX(Supuestos!$B$29:$F$29,1,$B32))+Supuestos!$B$12*INDEX(Supuestos!$B$29:$F$29,1,$B32))*(1-INDEX(Supuestos!$B$30:$F$30,1,$B32))*Supuestos!$B$8</f>
        <v>18.288</v>
      </c>
      <c r="I32" s="26">
        <f t="shared" si="2"/>
        <v>28698.535205012678</v>
      </c>
      <c r="J32" s="26">
        <f t="array" ref="J32">IF(A32&lt;Supuestos!$B$15,0,G32*INDEX(Supuestos!$B$31:$F$31,1,$B32)/12*INDEX(Supuestos!$B$32:$F$32,1,$B32))</f>
        <v>7061.6474421783159</v>
      </c>
      <c r="K32" s="26">
        <f>J32*Supuestos!$B$16</f>
        <v>1412.3294884356633</v>
      </c>
      <c r="L32" s="26">
        <f t="shared" si="3"/>
        <v>30110.86469344834</v>
      </c>
      <c r="M32" s="26">
        <f t="array" ref="M32">SUMPRODUCT((Plantilla!$D$5:$D$18&lt;=A32)*INDEX(Plantilla!$E$5:$I$18,0,B32))/12</f>
        <v>18916.666666666668</v>
      </c>
      <c r="N32" s="26">
        <f>M32*Supuestos!$B$17</f>
        <v>6053.3333333333339</v>
      </c>
      <c r="O32" s="26">
        <f t="shared" si="4"/>
        <v>24970</v>
      </c>
      <c r="P32" s="26">
        <f t="array" ref="P32">C32*INDEX(Supuestos!$B$33:$F$33,1,$B32)+INDEX(Supuestos!$B$34:$F$34,1,$B32)+L32*INDEX(Supuestos!$B$35:$F$35,1,$B32)+IF(AND(A32&gt;=4,A32&lt;=6),Supuestos!$B$20/3,0)</f>
        <v>3204.4345877379337</v>
      </c>
      <c r="Q32" s="26">
        <f t="array" ref="Q32">INDEX(Supuestos!$B$36:$F$36,1,$B32)</f>
        <v>800</v>
      </c>
      <c r="R32" s="26">
        <f>G32*Supuestos!$B$18</f>
        <v>156.9254987150737</v>
      </c>
      <c r="S32" s="26">
        <f>L32*Supuestos!$B$19</f>
        <v>451.66297040172509</v>
      </c>
      <c r="T32" s="26">
        <f t="array" ref="T32">INDEX(Supuestos!$B$37:$F$37,1,$B32)</f>
        <v>1120</v>
      </c>
      <c r="U32" s="26">
        <f>SUMIF(Supuestos!$B$41:$B$43,A32,Supuestos!$C$41:$C$43)</f>
        <v>0</v>
      </c>
      <c r="V32" s="26">
        <f t="shared" si="5"/>
        <v>30703.023056854734</v>
      </c>
      <c r="W32" s="26">
        <f t="shared" si="6"/>
        <v>-592.15836340639362</v>
      </c>
      <c r="X32" s="26">
        <f>SUMIF(Supuestos!$B$45:$B$47,A32,Supuestos!$C$45:$C$47)</f>
        <v>0</v>
      </c>
      <c r="Y32" s="26">
        <f>SUMPRODUCT((Supuestos!$B$45:$B$47&lt;=A32)*(Supuestos!$B$45:$B$47+Supuestos!$B$21&gt;A32)*Supuestos!$C$45:$C$47)/Supuestos!$B$21</f>
        <v>166.66666666666666</v>
      </c>
      <c r="Z32" s="26">
        <f t="shared" si="7"/>
        <v>-758.82503007306025</v>
      </c>
      <c r="AA32" s="26">
        <f>IF(A32&gt;=Supuestos!$B$52,(Supuestos!$B$51-SUM(AC$1:AC31))*Supuestos!$B$53/12,0)</f>
        <v>100</v>
      </c>
      <c r="AB32" s="26">
        <f t="shared" si="8"/>
        <v>-858.82503007306025</v>
      </c>
      <c r="AC32" s="26">
        <f>IF(AND(A32&gt;Supuestos!$B$52+Supuestos!$B$54,A32&lt;=Supuestos!$B$52+Supuestos!$B$54+Supuestos!$B$55),Supuestos!$B$51/Supuestos!$B$55,0)</f>
        <v>0</v>
      </c>
      <c r="AD32" s="26">
        <f>IF(A32=1,Supuestos!$B$50,0)+IF(A32=Supuestos!$B$52,Supuestos!$B$51,0)+IF(A32=Supuestos!$B$57,Supuestos!$B$56,0)</f>
        <v>0</v>
      </c>
      <c r="AE32" s="26">
        <f t="array" ref="AE32">IF(AND(MOD(A32,12)=0,B32&gt;=2),INDEX(Anual!$B$32:$F$32,1,B32-1),0)</f>
        <v>0</v>
      </c>
      <c r="AF32" s="26">
        <f t="shared" si="10"/>
        <v>52892.246335523516</v>
      </c>
      <c r="AG32" s="14">
        <f>COUNTIF(Plantilla!$D$5:$D$18,"&lt;="&amp;A32)</f>
        <v>8</v>
      </c>
      <c r="AH32" s="14">
        <f t="shared" si="9"/>
        <v>0</v>
      </c>
      <c r="AI32" s="26">
        <f t="array" ref="AI32">SUMPRODUCT((Plantilla!$D$5:$D$18&lt;=A32)*(Plantilla!$C$5:$C$18="Comercial")*INDEX(Plantilla!$E$5:$I$18,0,B32))/12*(1+Supuestos!$B$17)</f>
        <v>6270</v>
      </c>
      <c r="AJ32" s="26">
        <f t="array" ref="AJ32">SUMPRODUCT((Plantilla!$D$5:$D$18&lt;=A32)*(Plantilla!$C$5:$C$18="Customer Success")*INDEX(Plantilla!$E$5:$I$18,0,B32))/12*(1+Supuestos!$B$17)</f>
        <v>5940</v>
      </c>
    </row>
    <row r="33" spans="1:36" ht="15" customHeight="1" x14ac:dyDescent="0.35">
      <c r="A33" s="14">
        <v>32</v>
      </c>
      <c r="B33" s="14">
        <f t="shared" si="0"/>
        <v>3</v>
      </c>
      <c r="C33" s="18">
        <f t="array" ref="C33">IF(A33&lt;Supuestos!$B$13,0,INDEX(Supuestos!$B$27:$F$27,1,$B33)*Supuestos!$B$6)</f>
        <v>6</v>
      </c>
      <c r="D33" s="18">
        <f>IF(A33=Supuestos!$B$13,Supuestos!$B$14,0)</f>
        <v>0</v>
      </c>
      <c r="E33" s="18">
        <f>E32*(1-Supuestos!$B$7)+C33+D33</f>
        <v>91.437215967095682</v>
      </c>
      <c r="F33" s="18">
        <f t="array" ref="F33">INDEX(Supuestos!$B$28:$F$28,1,$B33)</f>
        <v>18</v>
      </c>
      <c r="G33" s="23">
        <f t="shared" si="1"/>
        <v>1645.8698874077222</v>
      </c>
      <c r="H33" s="25">
        <f t="array" ref="H33">(Supuestos!$B$11*(1-INDEX(Supuestos!$B$29:$F$29,1,$B33))+Supuestos!$B$12*INDEX(Supuestos!$B$29:$F$29,1,$B33))*(1-INDEX(Supuestos!$B$30:$F$30,1,$B33))*Supuestos!$B$8</f>
        <v>18.288</v>
      </c>
      <c r="I33" s="26">
        <f t="shared" si="2"/>
        <v>30099.668500912423</v>
      </c>
      <c r="J33" s="26">
        <f t="array" ref="J33">IF(A33&lt;Supuestos!$B$15,0,G33*INDEX(Supuestos!$B$31:$F$31,1,$B33)/12*INDEX(Supuestos!$B$32:$F$32,1,$B33))</f>
        <v>7406.4144933347507</v>
      </c>
      <c r="K33" s="26">
        <f>J33*Supuestos!$B$16</f>
        <v>1481.2828986669501</v>
      </c>
      <c r="L33" s="26">
        <f t="shared" si="3"/>
        <v>31580.951399579375</v>
      </c>
      <c r="M33" s="26">
        <f t="array" ref="M33">SUMPRODUCT((Plantilla!$D$5:$D$18&lt;=A33)*INDEX(Plantilla!$E$5:$I$18,0,B33))/12</f>
        <v>18916.666666666668</v>
      </c>
      <c r="N33" s="26">
        <f>M33*Supuestos!$B$17</f>
        <v>6053.3333333333339</v>
      </c>
      <c r="O33" s="26">
        <f t="shared" si="4"/>
        <v>24970</v>
      </c>
      <c r="P33" s="26">
        <f t="array" ref="P33">C33*INDEX(Supuestos!$B$33:$F$33,1,$B33)+INDEX(Supuestos!$B$34:$F$34,1,$B33)+L33*INDEX(Supuestos!$B$35:$F$35,1,$B33)+IF(AND(A33&gt;=4,A33&lt;=6),Supuestos!$B$20/3,0)</f>
        <v>3263.2380559831749</v>
      </c>
      <c r="Q33" s="26">
        <f t="array" ref="Q33">INDEX(Supuestos!$B$36:$F$36,1,$B33)</f>
        <v>800</v>
      </c>
      <c r="R33" s="26">
        <f>G33*Supuestos!$B$18</f>
        <v>164.58698874077223</v>
      </c>
      <c r="S33" s="26">
        <f>L33*Supuestos!$B$19</f>
        <v>473.7142709936906</v>
      </c>
      <c r="T33" s="26">
        <f t="array" ref="T33">INDEX(Supuestos!$B$37:$F$37,1,$B33)</f>
        <v>1120</v>
      </c>
      <c r="U33" s="26">
        <f>SUMIF(Supuestos!$B$41:$B$43,A33,Supuestos!$C$41:$C$43)</f>
        <v>0</v>
      </c>
      <c r="V33" s="26">
        <f t="shared" si="5"/>
        <v>30791.539315717637</v>
      </c>
      <c r="W33" s="26">
        <f t="shared" si="6"/>
        <v>789.41208386173821</v>
      </c>
      <c r="X33" s="26">
        <f>SUMIF(Supuestos!$B$45:$B$47,A33,Supuestos!$C$45:$C$47)</f>
        <v>0</v>
      </c>
      <c r="Y33" s="26">
        <f>SUMPRODUCT((Supuestos!$B$45:$B$47&lt;=A33)*(Supuestos!$B$45:$B$47+Supuestos!$B$21&gt;A33)*Supuestos!$C$45:$C$47)/Supuestos!$B$21</f>
        <v>166.66666666666666</v>
      </c>
      <c r="Z33" s="26">
        <f t="shared" si="7"/>
        <v>622.74541719507158</v>
      </c>
      <c r="AA33" s="26">
        <f>IF(A33&gt;=Supuestos!$B$52,(Supuestos!$B$51-SUM(AC$1:AC32))*Supuestos!$B$53/12,0)</f>
        <v>100</v>
      </c>
      <c r="AB33" s="26">
        <f t="shared" si="8"/>
        <v>522.74541719507158</v>
      </c>
      <c r="AC33" s="26">
        <f>IF(AND(A33&gt;Supuestos!$B$52+Supuestos!$B$54,A33&lt;=Supuestos!$B$52+Supuestos!$B$54+Supuestos!$B$55),Supuestos!$B$51/Supuestos!$B$55,0)</f>
        <v>0</v>
      </c>
      <c r="AD33" s="26">
        <f>IF(A33=1,Supuestos!$B$50,0)+IF(A33=Supuestos!$B$52,Supuestos!$B$51,0)+IF(A33=Supuestos!$B$57,Supuestos!$B$56,0)</f>
        <v>0</v>
      </c>
      <c r="AE33" s="26">
        <f t="array" ref="AE33">IF(AND(MOD(A33,12)=0,B33&gt;=2),INDEX(Anual!$B$32:$F$32,1,B33-1),0)</f>
        <v>0</v>
      </c>
      <c r="AF33" s="26">
        <f t="shared" si="10"/>
        <v>53581.658419385254</v>
      </c>
      <c r="AG33" s="14">
        <f>COUNTIF(Plantilla!$D$5:$D$18,"&lt;="&amp;A33)</f>
        <v>8</v>
      </c>
      <c r="AH33" s="14">
        <f t="shared" si="9"/>
        <v>0</v>
      </c>
      <c r="AI33" s="26">
        <f t="array" ref="AI33">SUMPRODUCT((Plantilla!$D$5:$D$18&lt;=A33)*(Plantilla!$C$5:$C$18="Comercial")*INDEX(Plantilla!$E$5:$I$18,0,B33))/12*(1+Supuestos!$B$17)</f>
        <v>6270</v>
      </c>
      <c r="AJ33" s="26">
        <f t="array" ref="AJ33">SUMPRODUCT((Plantilla!$D$5:$D$18&lt;=A33)*(Plantilla!$C$5:$C$18="Customer Success")*INDEX(Plantilla!$E$5:$I$18,0,B33))/12*(1+Supuestos!$B$17)</f>
        <v>5940</v>
      </c>
    </row>
    <row r="34" spans="1:36" ht="15" customHeight="1" x14ac:dyDescent="0.35">
      <c r="A34" s="14">
        <v>33</v>
      </c>
      <c r="B34" s="14">
        <f t="shared" si="0"/>
        <v>3</v>
      </c>
      <c r="C34" s="18">
        <f t="array" ref="C34">IF(A34&lt;Supuestos!$B$13,0,INDEX(Supuestos!$B$27:$F$27,1,$B34)*Supuestos!$B$6)</f>
        <v>6</v>
      </c>
      <c r="D34" s="18">
        <f>IF(A34=Supuestos!$B$13,Supuestos!$B$14,0)</f>
        <v>0</v>
      </c>
      <c r="E34" s="18">
        <f>E33*(1-Supuestos!$B$7)+C34+D34</f>
        <v>95.60847164775376</v>
      </c>
      <c r="F34" s="18">
        <f t="array" ref="F34">INDEX(Supuestos!$B$28:$F$28,1,$B34)</f>
        <v>18</v>
      </c>
      <c r="G34" s="23">
        <f t="shared" si="1"/>
        <v>1720.9524896595676</v>
      </c>
      <c r="H34" s="25">
        <f t="array" ref="H34">(Supuestos!$B$11*(1-INDEX(Supuestos!$B$29:$F$29,1,$B34))+Supuestos!$B$12*INDEX(Supuestos!$B$29:$F$29,1,$B34))*(1-INDEX(Supuestos!$B$30:$F$30,1,$B34))*Supuestos!$B$8</f>
        <v>18.288</v>
      </c>
      <c r="I34" s="26">
        <f t="shared" si="2"/>
        <v>31472.779130894174</v>
      </c>
      <c r="J34" s="26">
        <f t="array" ref="J34">IF(A34&lt;Supuestos!$B$15,0,G34*INDEX(Supuestos!$B$31:$F$31,1,$B34)/12*INDEX(Supuestos!$B$32:$F$32,1,$B34))</f>
        <v>7744.2862034680538</v>
      </c>
      <c r="K34" s="26">
        <f>J34*Supuestos!$B$16</f>
        <v>1548.8572406936109</v>
      </c>
      <c r="L34" s="26">
        <f t="shared" si="3"/>
        <v>33021.636371587781</v>
      </c>
      <c r="M34" s="26">
        <f t="array" ref="M34">SUMPRODUCT((Plantilla!$D$5:$D$18&lt;=A34)*INDEX(Plantilla!$E$5:$I$18,0,B34))/12</f>
        <v>18916.666666666668</v>
      </c>
      <c r="N34" s="26">
        <f>M34*Supuestos!$B$17</f>
        <v>6053.3333333333339</v>
      </c>
      <c r="O34" s="26">
        <f t="shared" si="4"/>
        <v>24970</v>
      </c>
      <c r="P34" s="26">
        <f t="array" ref="P34">C34*INDEX(Supuestos!$B$33:$F$33,1,$B34)+INDEX(Supuestos!$B$34:$F$34,1,$B34)+L34*INDEX(Supuestos!$B$35:$F$35,1,$B34)+IF(AND(A34&gt;=4,A34&lt;=6),Supuestos!$B$20/3,0)</f>
        <v>3320.8654548635113</v>
      </c>
      <c r="Q34" s="26">
        <f t="array" ref="Q34">INDEX(Supuestos!$B$36:$F$36,1,$B34)</f>
        <v>800</v>
      </c>
      <c r="R34" s="26">
        <f>G34*Supuestos!$B$18</f>
        <v>172.09524896595678</v>
      </c>
      <c r="S34" s="26">
        <f>L34*Supuestos!$B$19</f>
        <v>495.32454557381669</v>
      </c>
      <c r="T34" s="26">
        <f t="array" ref="T34">INDEX(Supuestos!$B$37:$F$37,1,$B34)</f>
        <v>1120</v>
      </c>
      <c r="U34" s="26">
        <f>SUMIF(Supuestos!$B$41:$B$43,A34,Supuestos!$C$41:$C$43)</f>
        <v>0</v>
      </c>
      <c r="V34" s="26">
        <f t="shared" si="5"/>
        <v>30878.285249403285</v>
      </c>
      <c r="W34" s="26">
        <f t="shared" si="6"/>
        <v>2143.3511221844965</v>
      </c>
      <c r="X34" s="26">
        <f>SUMIF(Supuestos!$B$45:$B$47,A34,Supuestos!$C$45:$C$47)</f>
        <v>0</v>
      </c>
      <c r="Y34" s="26">
        <f>SUMPRODUCT((Supuestos!$B$45:$B$47&lt;=A34)*(Supuestos!$B$45:$B$47+Supuestos!$B$21&gt;A34)*Supuestos!$C$45:$C$47)/Supuestos!$B$21</f>
        <v>166.66666666666666</v>
      </c>
      <c r="Z34" s="26">
        <f t="shared" si="7"/>
        <v>1976.6844555178297</v>
      </c>
      <c r="AA34" s="26">
        <f>IF(A34&gt;=Supuestos!$B$52,(Supuestos!$B$51-SUM(AC$1:AC33))*Supuestos!$B$53/12,0)</f>
        <v>100</v>
      </c>
      <c r="AB34" s="26">
        <f t="shared" si="8"/>
        <v>1876.6844555178297</v>
      </c>
      <c r="AC34" s="26">
        <f>IF(AND(A34&gt;Supuestos!$B$52+Supuestos!$B$54,A34&lt;=Supuestos!$B$52+Supuestos!$B$54+Supuestos!$B$55),Supuestos!$B$51/Supuestos!$B$55,0)</f>
        <v>0</v>
      </c>
      <c r="AD34" s="26">
        <f>IF(A34=1,Supuestos!$B$50,0)+IF(A34=Supuestos!$B$52,Supuestos!$B$51,0)+IF(A34=Supuestos!$B$57,Supuestos!$B$56,0)</f>
        <v>0</v>
      </c>
      <c r="AE34" s="26">
        <f t="array" ref="AE34">IF(AND(MOD(A34,12)=0,B34&gt;=2),INDEX(Anual!$B$32:$F$32,1,B34-1),0)</f>
        <v>0</v>
      </c>
      <c r="AF34" s="26">
        <f t="shared" si="10"/>
        <v>55625.009541569758</v>
      </c>
      <c r="AG34" s="14">
        <f>COUNTIF(Plantilla!$D$5:$D$18,"&lt;="&amp;A34)</f>
        <v>8</v>
      </c>
      <c r="AH34" s="14">
        <f t="shared" si="9"/>
        <v>0</v>
      </c>
      <c r="AI34" s="26">
        <f t="array" ref="AI34">SUMPRODUCT((Plantilla!$D$5:$D$18&lt;=A34)*(Plantilla!$C$5:$C$18="Comercial")*INDEX(Plantilla!$E$5:$I$18,0,B34))/12*(1+Supuestos!$B$17)</f>
        <v>6270</v>
      </c>
      <c r="AJ34" s="26">
        <f t="array" ref="AJ34">SUMPRODUCT((Plantilla!$D$5:$D$18&lt;=A34)*(Plantilla!$C$5:$C$18="Customer Success")*INDEX(Plantilla!$E$5:$I$18,0,B34))/12*(1+Supuestos!$B$17)</f>
        <v>5940</v>
      </c>
    </row>
    <row r="35" spans="1:36" ht="15" customHeight="1" x14ac:dyDescent="0.35">
      <c r="A35" s="14">
        <v>34</v>
      </c>
      <c r="B35" s="14">
        <f t="shared" si="0"/>
        <v>3</v>
      </c>
      <c r="C35" s="18">
        <f t="array" ref="C35">IF(A35&lt;Supuestos!$B$13,0,INDEX(Supuestos!$B$27:$F$27,1,$B35)*Supuestos!$B$6)</f>
        <v>6</v>
      </c>
      <c r="D35" s="18">
        <f>IF(A35=Supuestos!$B$13,Supuestos!$B$14,0)</f>
        <v>0</v>
      </c>
      <c r="E35" s="18">
        <f>E34*(1-Supuestos!$B$7)+C35+D35</f>
        <v>99.696302214798678</v>
      </c>
      <c r="F35" s="18">
        <f t="array" ref="F35">INDEX(Supuestos!$B$28:$F$28,1,$B35)</f>
        <v>18</v>
      </c>
      <c r="G35" s="23">
        <f t="shared" si="1"/>
        <v>1794.5334398663763</v>
      </c>
      <c r="H35" s="25">
        <f t="array" ref="H35">(Supuestos!$B$11*(1-INDEX(Supuestos!$B$29:$F$29,1,$B35))+Supuestos!$B$12*INDEX(Supuestos!$B$29:$F$29,1,$B35))*(1-INDEX(Supuestos!$B$30:$F$30,1,$B35))*Supuestos!$B$8</f>
        <v>18.288</v>
      </c>
      <c r="I35" s="26">
        <f t="shared" si="2"/>
        <v>32818.42754827629</v>
      </c>
      <c r="J35" s="26">
        <f t="array" ref="J35">IF(A35&lt;Supuestos!$B$15,0,G35*INDEX(Supuestos!$B$31:$F$31,1,$B35)/12*INDEX(Supuestos!$B$32:$F$32,1,$B35))</f>
        <v>8075.4004793986942</v>
      </c>
      <c r="K35" s="26">
        <f>J35*Supuestos!$B$16</f>
        <v>1615.080095879739</v>
      </c>
      <c r="L35" s="26">
        <f t="shared" si="3"/>
        <v>34433.50764415603</v>
      </c>
      <c r="M35" s="26">
        <f t="array" ref="M35">SUMPRODUCT((Plantilla!$D$5:$D$18&lt;=A35)*INDEX(Plantilla!$E$5:$I$18,0,B35))/12</f>
        <v>18916.666666666668</v>
      </c>
      <c r="N35" s="26">
        <f>M35*Supuestos!$B$17</f>
        <v>6053.3333333333339</v>
      </c>
      <c r="O35" s="26">
        <f t="shared" si="4"/>
        <v>24970</v>
      </c>
      <c r="P35" s="26">
        <f t="array" ref="P35">C35*INDEX(Supuestos!$B$33:$F$33,1,$B35)+INDEX(Supuestos!$B$34:$F$34,1,$B35)+L35*INDEX(Supuestos!$B$35:$F$35,1,$B35)+IF(AND(A35&gt;=4,A35&lt;=6),Supuestos!$B$20/3,0)</f>
        <v>3377.3403057662413</v>
      </c>
      <c r="Q35" s="26">
        <f t="array" ref="Q35">INDEX(Supuestos!$B$36:$F$36,1,$B35)</f>
        <v>800</v>
      </c>
      <c r="R35" s="26">
        <f>G35*Supuestos!$B$18</f>
        <v>179.45334398663763</v>
      </c>
      <c r="S35" s="26">
        <f>L35*Supuestos!$B$19</f>
        <v>516.50261466234042</v>
      </c>
      <c r="T35" s="26">
        <f t="array" ref="T35">INDEX(Supuestos!$B$37:$F$37,1,$B35)</f>
        <v>1120</v>
      </c>
      <c r="U35" s="26">
        <f>SUMIF(Supuestos!$B$41:$B$43,A35,Supuestos!$C$41:$C$43)</f>
        <v>0</v>
      </c>
      <c r="V35" s="26">
        <f t="shared" si="5"/>
        <v>30963.296264415221</v>
      </c>
      <c r="W35" s="26">
        <f t="shared" si="6"/>
        <v>3470.2113797408092</v>
      </c>
      <c r="X35" s="26">
        <f>SUMIF(Supuestos!$B$45:$B$47,A35,Supuestos!$C$45:$C$47)</f>
        <v>0</v>
      </c>
      <c r="Y35" s="26">
        <f>SUMPRODUCT((Supuestos!$B$45:$B$47&lt;=A35)*(Supuestos!$B$45:$B$47+Supuestos!$B$21&gt;A35)*Supuestos!$C$45:$C$47)/Supuestos!$B$21</f>
        <v>166.66666666666666</v>
      </c>
      <c r="Z35" s="26">
        <f t="shared" si="7"/>
        <v>3303.5447130741427</v>
      </c>
      <c r="AA35" s="26">
        <f>IF(A35&gt;=Supuestos!$B$52,(Supuestos!$B$51-SUM(AC$1:AC34))*Supuestos!$B$53/12,0)</f>
        <v>100</v>
      </c>
      <c r="AB35" s="26">
        <f t="shared" si="8"/>
        <v>3203.5447130741427</v>
      </c>
      <c r="AC35" s="26">
        <f>IF(AND(A35&gt;Supuestos!$B$52+Supuestos!$B$54,A35&lt;=Supuestos!$B$52+Supuestos!$B$54+Supuestos!$B$55),Supuestos!$B$51/Supuestos!$B$55,0)</f>
        <v>0</v>
      </c>
      <c r="AD35" s="26">
        <f>IF(A35=1,Supuestos!$B$50,0)+IF(A35=Supuestos!$B$52,Supuestos!$B$51,0)+IF(A35=Supuestos!$B$57,Supuestos!$B$56,0)</f>
        <v>0</v>
      </c>
      <c r="AE35" s="26">
        <f t="array" ref="AE35">IF(AND(MOD(A35,12)=0,B35&gt;=2),INDEX(Anual!$B$32:$F$32,1,B35-1),0)</f>
        <v>0</v>
      </c>
      <c r="AF35" s="26">
        <f t="shared" si="10"/>
        <v>58995.220921310574</v>
      </c>
      <c r="AG35" s="14">
        <f>COUNTIF(Plantilla!$D$5:$D$18,"&lt;="&amp;A35)</f>
        <v>8</v>
      </c>
      <c r="AH35" s="14">
        <f t="shared" si="9"/>
        <v>0</v>
      </c>
      <c r="AI35" s="26">
        <f t="array" ref="AI35">SUMPRODUCT((Plantilla!$D$5:$D$18&lt;=A35)*(Plantilla!$C$5:$C$18="Comercial")*INDEX(Plantilla!$E$5:$I$18,0,B35))/12*(1+Supuestos!$B$17)</f>
        <v>6270</v>
      </c>
      <c r="AJ35" s="26">
        <f t="array" ref="AJ35">SUMPRODUCT((Plantilla!$D$5:$D$18&lt;=A35)*(Plantilla!$C$5:$C$18="Customer Success")*INDEX(Plantilla!$E$5:$I$18,0,B35))/12*(1+Supuestos!$B$17)</f>
        <v>5940</v>
      </c>
    </row>
    <row r="36" spans="1:36" ht="15" customHeight="1" x14ac:dyDescent="0.35">
      <c r="A36" s="14">
        <v>35</v>
      </c>
      <c r="B36" s="14">
        <f t="shared" si="0"/>
        <v>3</v>
      </c>
      <c r="C36" s="18">
        <f t="array" ref="C36">IF(A36&lt;Supuestos!$B$13,0,INDEX(Supuestos!$B$27:$F$27,1,$B36)*Supuestos!$B$6)</f>
        <v>6</v>
      </c>
      <c r="D36" s="18">
        <f>IF(A36=Supuestos!$B$13,Supuestos!$B$14,0)</f>
        <v>0</v>
      </c>
      <c r="E36" s="18">
        <f>E35*(1-Supuestos!$B$7)+C36+D36</f>
        <v>103.7023761705027</v>
      </c>
      <c r="F36" s="18">
        <f t="array" ref="F36">INDEX(Supuestos!$B$28:$F$28,1,$B36)</f>
        <v>18</v>
      </c>
      <c r="G36" s="23">
        <f t="shared" si="1"/>
        <v>1866.6427710690486</v>
      </c>
      <c r="H36" s="25">
        <f t="array" ref="H36">(Supuestos!$B$11*(1-INDEX(Supuestos!$B$29:$F$29,1,$B36))+Supuestos!$B$12*INDEX(Supuestos!$B$29:$F$29,1,$B36))*(1-INDEX(Supuestos!$B$30:$F$30,1,$B36))*Supuestos!$B$8</f>
        <v>18.288</v>
      </c>
      <c r="I36" s="26">
        <f t="shared" si="2"/>
        <v>34137.162997310763</v>
      </c>
      <c r="J36" s="26">
        <f t="array" ref="J36">IF(A36&lt;Supuestos!$B$15,0,G36*INDEX(Supuestos!$B$31:$F$31,1,$B36)/12*INDEX(Supuestos!$B$32:$F$32,1,$B36))</f>
        <v>8399.8924698107185</v>
      </c>
      <c r="K36" s="26">
        <f>J36*Supuestos!$B$16</f>
        <v>1679.9784939621438</v>
      </c>
      <c r="L36" s="26">
        <f t="shared" si="3"/>
        <v>35817.141491272909</v>
      </c>
      <c r="M36" s="26">
        <f t="array" ref="M36">SUMPRODUCT((Plantilla!$D$5:$D$18&lt;=A36)*INDEX(Plantilla!$E$5:$I$18,0,B36))/12</f>
        <v>18916.666666666668</v>
      </c>
      <c r="N36" s="26">
        <f>M36*Supuestos!$B$17</f>
        <v>6053.3333333333339</v>
      </c>
      <c r="O36" s="26">
        <f t="shared" si="4"/>
        <v>24970</v>
      </c>
      <c r="P36" s="26">
        <f t="array" ref="P36">C36*INDEX(Supuestos!$B$33:$F$33,1,$B36)+INDEX(Supuestos!$B$34:$F$34,1,$B36)+L36*INDEX(Supuestos!$B$35:$F$35,1,$B36)+IF(AND(A36&gt;=4,A36&lt;=6),Supuestos!$B$20/3,0)</f>
        <v>3432.6856596509165</v>
      </c>
      <c r="Q36" s="26">
        <f t="array" ref="Q36">INDEX(Supuestos!$B$36:$F$36,1,$B36)</f>
        <v>800</v>
      </c>
      <c r="R36" s="26">
        <f>G36*Supuestos!$B$18</f>
        <v>186.66427710690488</v>
      </c>
      <c r="S36" s="26">
        <f>L36*Supuestos!$B$19</f>
        <v>537.25712236909362</v>
      </c>
      <c r="T36" s="26">
        <f t="array" ref="T36">INDEX(Supuestos!$B$37:$F$37,1,$B36)</f>
        <v>1120</v>
      </c>
      <c r="U36" s="26">
        <f>SUMIF(Supuestos!$B$41:$B$43,A36,Supuestos!$C$41:$C$43)</f>
        <v>0</v>
      </c>
      <c r="V36" s="26">
        <f t="shared" si="5"/>
        <v>31046.607059126916</v>
      </c>
      <c r="W36" s="26">
        <f t="shared" si="6"/>
        <v>4770.5344321459925</v>
      </c>
      <c r="X36" s="26">
        <f>SUMIF(Supuestos!$B$45:$B$47,A36,Supuestos!$C$45:$C$47)</f>
        <v>0</v>
      </c>
      <c r="Y36" s="26">
        <f>SUMPRODUCT((Supuestos!$B$45:$B$47&lt;=A36)*(Supuestos!$B$45:$B$47+Supuestos!$B$21&gt;A36)*Supuestos!$C$45:$C$47)/Supuestos!$B$21</f>
        <v>166.66666666666666</v>
      </c>
      <c r="Z36" s="26">
        <f t="shared" si="7"/>
        <v>4603.8677654793255</v>
      </c>
      <c r="AA36" s="26">
        <f>IF(A36&gt;=Supuestos!$B$52,(Supuestos!$B$51-SUM(AC$1:AC35))*Supuestos!$B$53/12,0)</f>
        <v>100</v>
      </c>
      <c r="AB36" s="26">
        <f t="shared" si="8"/>
        <v>4503.8677654793255</v>
      </c>
      <c r="AC36" s="26">
        <f>IF(AND(A36&gt;Supuestos!$B$52+Supuestos!$B$54,A36&lt;=Supuestos!$B$52+Supuestos!$B$54+Supuestos!$B$55),Supuestos!$B$51/Supuestos!$B$55,0)</f>
        <v>0</v>
      </c>
      <c r="AD36" s="26">
        <f>IF(A36=1,Supuestos!$B$50,0)+IF(A36=Supuestos!$B$52,Supuestos!$B$51,0)+IF(A36=Supuestos!$B$57,Supuestos!$B$56,0)</f>
        <v>0</v>
      </c>
      <c r="AE36" s="26">
        <f t="array" ref="AE36">IF(AND(MOD(A36,12)=0,B36&gt;=2),INDEX(Anual!$B$32:$F$32,1,B36-1),0)</f>
        <v>0</v>
      </c>
      <c r="AF36" s="26">
        <f t="shared" si="10"/>
        <v>63665.755353456574</v>
      </c>
      <c r="AG36" s="14">
        <f>COUNTIF(Plantilla!$D$5:$D$18,"&lt;="&amp;A36)</f>
        <v>8</v>
      </c>
      <c r="AH36" s="14">
        <f t="shared" si="9"/>
        <v>0</v>
      </c>
      <c r="AI36" s="26">
        <f t="array" ref="AI36">SUMPRODUCT((Plantilla!$D$5:$D$18&lt;=A36)*(Plantilla!$C$5:$C$18="Comercial")*INDEX(Plantilla!$E$5:$I$18,0,B36))/12*(1+Supuestos!$B$17)</f>
        <v>6270</v>
      </c>
      <c r="AJ36" s="26">
        <f t="array" ref="AJ36">SUMPRODUCT((Plantilla!$D$5:$D$18&lt;=A36)*(Plantilla!$C$5:$C$18="Customer Success")*INDEX(Plantilla!$E$5:$I$18,0,B36))/12*(1+Supuestos!$B$17)</f>
        <v>5940</v>
      </c>
    </row>
    <row r="37" spans="1:36" ht="15" customHeight="1" x14ac:dyDescent="0.35">
      <c r="A37" s="14">
        <v>36</v>
      </c>
      <c r="B37" s="14">
        <f t="shared" si="0"/>
        <v>3</v>
      </c>
      <c r="C37" s="18">
        <f t="array" ref="C37">IF(A37&lt;Supuestos!$B$13,0,INDEX(Supuestos!$B$27:$F$27,1,$B37)*Supuestos!$B$6)</f>
        <v>6</v>
      </c>
      <c r="D37" s="18">
        <f>IF(A37=Supuestos!$B$13,Supuestos!$B$14,0)</f>
        <v>0</v>
      </c>
      <c r="E37" s="18">
        <f>E36*(1-Supuestos!$B$7)+C37+D37</f>
        <v>107.62832864709264</v>
      </c>
      <c r="F37" s="18">
        <f t="array" ref="F37">INDEX(Supuestos!$B$28:$F$28,1,$B37)</f>
        <v>18</v>
      </c>
      <c r="G37" s="23">
        <f t="shared" si="1"/>
        <v>1937.3099156476676</v>
      </c>
      <c r="H37" s="25">
        <f t="array" ref="H37">(Supuestos!$B$11*(1-INDEX(Supuestos!$B$29:$F$29,1,$B37))+Supuestos!$B$12*INDEX(Supuestos!$B$29:$F$29,1,$B37))*(1-INDEX(Supuestos!$B$30:$F$30,1,$B37))*Supuestos!$B$8</f>
        <v>18.288</v>
      </c>
      <c r="I37" s="26">
        <f t="shared" si="2"/>
        <v>35429.523737364543</v>
      </c>
      <c r="J37" s="26">
        <f t="array" ref="J37">IF(A37&lt;Supuestos!$B$15,0,G37*INDEX(Supuestos!$B$31:$F$31,1,$B37)/12*INDEX(Supuestos!$B$32:$F$32,1,$B37))</f>
        <v>8717.8946204145032</v>
      </c>
      <c r="K37" s="26">
        <f>J37*Supuestos!$B$16</f>
        <v>1743.5789240829008</v>
      </c>
      <c r="L37" s="26">
        <f t="shared" si="3"/>
        <v>37173.102661447447</v>
      </c>
      <c r="M37" s="26">
        <f t="array" ref="M37">SUMPRODUCT((Plantilla!$D$5:$D$18&lt;=A37)*INDEX(Plantilla!$E$5:$I$18,0,B37))/12</f>
        <v>18916.666666666668</v>
      </c>
      <c r="N37" s="26">
        <f>M37*Supuestos!$B$17</f>
        <v>6053.3333333333339</v>
      </c>
      <c r="O37" s="26">
        <f t="shared" si="4"/>
        <v>24970</v>
      </c>
      <c r="P37" s="26">
        <f t="array" ref="P37">C37*INDEX(Supuestos!$B$33:$F$33,1,$B37)+INDEX(Supuestos!$B$34:$F$34,1,$B37)+L37*INDEX(Supuestos!$B$35:$F$35,1,$B37)+IF(AND(A37&gt;=4,A37&lt;=6),Supuestos!$B$20/3,0)</f>
        <v>3486.9241064578982</v>
      </c>
      <c r="Q37" s="26">
        <f t="array" ref="Q37">INDEX(Supuestos!$B$36:$F$36,1,$B37)</f>
        <v>800</v>
      </c>
      <c r="R37" s="26">
        <f>G37*Supuestos!$B$18</f>
        <v>193.73099156476678</v>
      </c>
      <c r="S37" s="26">
        <f>L37*Supuestos!$B$19</f>
        <v>557.59653992171172</v>
      </c>
      <c r="T37" s="26">
        <f t="array" ref="T37">INDEX(Supuestos!$B$37:$F$37,1,$B37)</f>
        <v>1120</v>
      </c>
      <c r="U37" s="26">
        <f>SUMIF(Supuestos!$B$41:$B$43,A37,Supuestos!$C$41:$C$43)</f>
        <v>0</v>
      </c>
      <c r="V37" s="26">
        <f t="shared" si="5"/>
        <v>31128.251637944377</v>
      </c>
      <c r="W37" s="26">
        <f t="shared" si="6"/>
        <v>6044.8510235030699</v>
      </c>
      <c r="X37" s="26">
        <f>SUMIF(Supuestos!$B$45:$B$47,A37,Supuestos!$C$45:$C$47)</f>
        <v>6000</v>
      </c>
      <c r="Y37" s="26">
        <f>SUMPRODUCT((Supuestos!$B$45:$B$47&lt;=A37)*(Supuestos!$B$45:$B$47+Supuestos!$B$21&gt;A37)*Supuestos!$C$45:$C$47)/Supuestos!$B$21</f>
        <v>333.33333333333331</v>
      </c>
      <c r="Z37" s="26">
        <f t="shared" si="7"/>
        <v>5711.5176901697369</v>
      </c>
      <c r="AA37" s="26">
        <f>IF(A37&gt;=Supuestos!$B$52,(Supuestos!$B$51-SUM(AC$1:AC36))*Supuestos!$B$53/12,0)</f>
        <v>100</v>
      </c>
      <c r="AB37" s="26">
        <f t="shared" si="8"/>
        <v>5611.5176901697369</v>
      </c>
      <c r="AC37" s="26">
        <f>IF(AND(A37&gt;Supuestos!$B$52+Supuestos!$B$54,A37&lt;=Supuestos!$B$52+Supuestos!$B$54+Supuestos!$B$55),Supuestos!$B$51/Supuestos!$B$55,0)</f>
        <v>0</v>
      </c>
      <c r="AD37" s="26">
        <f>IF(A37=1,Supuestos!$B$50,0)+IF(A37=Supuestos!$B$52,Supuestos!$B$51,0)+IF(A37=Supuestos!$B$57,Supuestos!$B$56,0)</f>
        <v>0</v>
      </c>
      <c r="AE37" s="26">
        <f t="array" ref="AE37">IF(AND(MOD(A37,12)=0,B37&gt;=2),INDEX(Anual!$B$32:$F$32,1,B37-1),0)</f>
        <v>0</v>
      </c>
      <c r="AF37" s="26">
        <f t="shared" si="10"/>
        <v>63610.606376959651</v>
      </c>
      <c r="AG37" s="14">
        <f>COUNTIF(Plantilla!$D$5:$D$18,"&lt;="&amp;A37)</f>
        <v>8</v>
      </c>
      <c r="AH37" s="14">
        <f t="shared" si="9"/>
        <v>0</v>
      </c>
      <c r="AI37" s="26">
        <f t="array" ref="AI37">SUMPRODUCT((Plantilla!$D$5:$D$18&lt;=A37)*(Plantilla!$C$5:$C$18="Comercial")*INDEX(Plantilla!$E$5:$I$18,0,B37))/12*(1+Supuestos!$B$17)</f>
        <v>6270</v>
      </c>
      <c r="AJ37" s="26">
        <f t="array" ref="AJ37">SUMPRODUCT((Plantilla!$D$5:$D$18&lt;=A37)*(Plantilla!$C$5:$C$18="Customer Success")*INDEX(Plantilla!$E$5:$I$18,0,B37))/12*(1+Supuestos!$B$17)</f>
        <v>5940</v>
      </c>
    </row>
    <row r="38" spans="1:36" ht="15" customHeight="1" x14ac:dyDescent="0.35">
      <c r="A38" s="14">
        <v>37</v>
      </c>
      <c r="B38" s="14">
        <f t="shared" si="0"/>
        <v>4</v>
      </c>
      <c r="C38" s="18">
        <f t="array" ref="C38">IF(A38&lt;Supuestos!$B$13,0,INDEX(Supuestos!$B$27:$F$27,1,$B38)*Supuestos!$B$6)</f>
        <v>8</v>
      </c>
      <c r="D38" s="18">
        <f>IF(A38=Supuestos!$B$13,Supuestos!$B$14,0)</f>
        <v>0</v>
      </c>
      <c r="E38" s="18">
        <f>E37*(1-Supuestos!$B$7)+C38+D38</f>
        <v>113.47576207415079</v>
      </c>
      <c r="F38" s="18">
        <f t="array" ref="F38">INDEX(Supuestos!$B$28:$F$28,1,$B38)</f>
        <v>19</v>
      </c>
      <c r="G38" s="23">
        <f t="shared" si="1"/>
        <v>2156.0394794088652</v>
      </c>
      <c r="H38" s="25">
        <f t="array" ref="H38">(Supuestos!$B$11*(1-INDEX(Supuestos!$B$29:$F$29,1,$B38))+Supuestos!$B$12*INDEX(Supuestos!$B$29:$F$29,1,$B38))*(1-INDEX(Supuestos!$B$30:$F$30,1,$B38))*Supuestos!$B$8</f>
        <v>19.170000000000002</v>
      </c>
      <c r="I38" s="26">
        <f t="shared" si="2"/>
        <v>41331.276820267951</v>
      </c>
      <c r="J38" s="26">
        <f t="array" ref="J38">IF(A38&lt;Supuestos!$B$15,0,G38*INDEX(Supuestos!$B$31:$F$31,1,$B38)/12*INDEX(Supuestos!$B$32:$F$32,1,$B38))</f>
        <v>13340.494278842352</v>
      </c>
      <c r="K38" s="26">
        <f>J38*Supuestos!$B$16</f>
        <v>2668.0988557684705</v>
      </c>
      <c r="L38" s="26">
        <f t="shared" si="3"/>
        <v>43999.375676036419</v>
      </c>
      <c r="M38" s="26">
        <f t="array" ref="M38">SUMPRODUCT((Plantilla!$D$5:$D$18&lt;=A38)*INDEX(Plantilla!$E$5:$I$18,0,B38))/12</f>
        <v>26166.666666666668</v>
      </c>
      <c r="N38" s="26">
        <f>M38*Supuestos!$B$17</f>
        <v>8373.3333333333339</v>
      </c>
      <c r="O38" s="26">
        <f t="shared" si="4"/>
        <v>34540</v>
      </c>
      <c r="P38" s="26">
        <f t="array" ref="P38">C38*INDEX(Supuestos!$B$33:$F$33,1,$B38)+INDEX(Supuestos!$B$34:$F$34,1,$B38)+L38*INDEX(Supuestos!$B$35:$F$35,1,$B38)+IF(AND(A38&gt;=4,A38&lt;=6),Supuestos!$B$20/3,0)</f>
        <v>4159.975027041457</v>
      </c>
      <c r="Q38" s="26">
        <f t="array" ref="Q38">INDEX(Supuestos!$B$36:$F$36,1,$B38)</f>
        <v>1400</v>
      </c>
      <c r="R38" s="26">
        <f>G38*Supuestos!$B$18</f>
        <v>215.60394794088654</v>
      </c>
      <c r="S38" s="26">
        <f>L38*Supuestos!$B$19</f>
        <v>659.99063514054626</v>
      </c>
      <c r="T38" s="26">
        <f t="array" ref="T38">INDEX(Supuestos!$B$37:$F$37,1,$B38)</f>
        <v>1420</v>
      </c>
      <c r="U38" s="26">
        <f>SUMIF(Supuestos!$B$41:$B$43,A38,Supuestos!$C$41:$C$43)</f>
        <v>3000</v>
      </c>
      <c r="V38" s="26">
        <f t="shared" si="5"/>
        <v>45395.56961012289</v>
      </c>
      <c r="W38" s="26">
        <f t="shared" si="6"/>
        <v>-1396.1939340864701</v>
      </c>
      <c r="X38" s="26">
        <f>SUMIF(Supuestos!$B$45:$B$47,A38,Supuestos!$C$45:$C$47)</f>
        <v>0</v>
      </c>
      <c r="Y38" s="26">
        <f>SUMPRODUCT((Supuestos!$B$45:$B$47&lt;=A38)*(Supuestos!$B$45:$B$47+Supuestos!$B$21&gt;A38)*Supuestos!$C$45:$C$47)/Supuestos!$B$21</f>
        <v>166.66666666666666</v>
      </c>
      <c r="Z38" s="26">
        <f t="shared" si="7"/>
        <v>-1562.8606007531369</v>
      </c>
      <c r="AA38" s="26">
        <f>IF(A38&gt;=Supuestos!$B$52,(Supuestos!$B$51-SUM(AC$1:AC37))*Supuestos!$B$53/12,0)</f>
        <v>100</v>
      </c>
      <c r="AB38" s="26">
        <f t="shared" si="8"/>
        <v>-1662.8606007531369</v>
      </c>
      <c r="AC38" s="26">
        <f>IF(AND(A38&gt;Supuestos!$B$52+Supuestos!$B$54,A38&lt;=Supuestos!$B$52+Supuestos!$B$54+Supuestos!$B$55),Supuestos!$B$51/Supuestos!$B$55,0)</f>
        <v>0</v>
      </c>
      <c r="AD38" s="26">
        <f>IF(A38=1,Supuestos!$B$50,0)+IF(A38=Supuestos!$B$52,Supuestos!$B$51,0)+IF(A38=Supuestos!$B$57,Supuestos!$B$56,0)</f>
        <v>0</v>
      </c>
      <c r="AE38" s="26">
        <f t="array" ref="AE38">IF(AND(MOD(A38,12)=0,B38&gt;=2),INDEX(Anual!$B$32:$F$32,1,B38-1),0)</f>
        <v>0</v>
      </c>
      <c r="AF38" s="26">
        <f t="shared" si="10"/>
        <v>62114.412442873181</v>
      </c>
      <c r="AG38" s="14">
        <f>COUNTIF(Plantilla!$D$5:$D$18,"&lt;="&amp;A38)</f>
        <v>10</v>
      </c>
      <c r="AH38" s="14">
        <f t="shared" si="9"/>
        <v>0</v>
      </c>
      <c r="AI38" s="26">
        <f t="array" ref="AI38">SUMPRODUCT((Plantilla!$D$5:$D$18&lt;=A38)*(Plantilla!$C$5:$C$18="Comercial")*INDEX(Plantilla!$E$5:$I$18,0,B38))/12*(1+Supuestos!$B$17)</f>
        <v>10120</v>
      </c>
      <c r="AJ38" s="26">
        <f t="array" ref="AJ38">SUMPRODUCT((Plantilla!$D$5:$D$18&lt;=A38)*(Plantilla!$C$5:$C$18="Customer Success")*INDEX(Plantilla!$E$5:$I$18,0,B38))/12*(1+Supuestos!$B$17)</f>
        <v>6490.0000000000009</v>
      </c>
    </row>
    <row r="39" spans="1:36" ht="15" customHeight="1" x14ac:dyDescent="0.35">
      <c r="A39" s="14">
        <v>38</v>
      </c>
      <c r="B39" s="14">
        <f t="shared" si="0"/>
        <v>4</v>
      </c>
      <c r="C39" s="18">
        <f t="array" ref="C39">IF(A39&lt;Supuestos!$B$13,0,INDEX(Supuestos!$B$27:$F$27,1,$B39)*Supuestos!$B$6)</f>
        <v>8</v>
      </c>
      <c r="D39" s="18">
        <f>IF(A39=Supuestos!$B$13,Supuestos!$B$14,0)</f>
        <v>0</v>
      </c>
      <c r="E39" s="18">
        <f>E38*(1-Supuestos!$B$7)+C39+D39</f>
        <v>119.20624683266777</v>
      </c>
      <c r="F39" s="18">
        <f t="array" ref="F39">INDEX(Supuestos!$B$28:$F$28,1,$B39)</f>
        <v>19</v>
      </c>
      <c r="G39" s="23">
        <f t="shared" si="1"/>
        <v>2264.9186898206876</v>
      </c>
      <c r="H39" s="25">
        <f t="array" ref="H39">(Supuestos!$B$11*(1-INDEX(Supuestos!$B$29:$F$29,1,$B39))+Supuestos!$B$12*INDEX(Supuestos!$B$29:$F$29,1,$B39))*(1-INDEX(Supuestos!$B$30:$F$30,1,$B39))*Supuestos!$B$8</f>
        <v>19.170000000000002</v>
      </c>
      <c r="I39" s="26">
        <f t="shared" si="2"/>
        <v>43418.491283862582</v>
      </c>
      <c r="J39" s="26">
        <f t="array" ref="J39">IF(A39&lt;Supuestos!$B$15,0,G39*INDEX(Supuestos!$B$31:$F$31,1,$B39)/12*INDEX(Supuestos!$B$32:$F$32,1,$B39))</f>
        <v>14014.184393265507</v>
      </c>
      <c r="K39" s="26">
        <f>J39*Supuestos!$B$16</f>
        <v>2802.8368786531014</v>
      </c>
      <c r="L39" s="26">
        <f t="shared" si="3"/>
        <v>46221.328162515681</v>
      </c>
      <c r="M39" s="26">
        <f t="array" ref="M39">SUMPRODUCT((Plantilla!$D$5:$D$18&lt;=A39)*INDEX(Plantilla!$E$5:$I$18,0,B39))/12</f>
        <v>26166.666666666668</v>
      </c>
      <c r="N39" s="26">
        <f>M39*Supuestos!$B$17</f>
        <v>8373.3333333333339</v>
      </c>
      <c r="O39" s="26">
        <f t="shared" si="4"/>
        <v>34540</v>
      </c>
      <c r="P39" s="26">
        <f t="array" ref="P39">C39*INDEX(Supuestos!$B$33:$F$33,1,$B39)+INDEX(Supuestos!$B$34:$F$34,1,$B39)+L39*INDEX(Supuestos!$B$35:$F$35,1,$B39)+IF(AND(A39&gt;=4,A39&lt;=6),Supuestos!$B$20/3,0)</f>
        <v>4248.8531265006277</v>
      </c>
      <c r="Q39" s="26">
        <f t="array" ref="Q39">INDEX(Supuestos!$B$36:$F$36,1,$B39)</f>
        <v>1400</v>
      </c>
      <c r="R39" s="26">
        <f>G39*Supuestos!$B$18</f>
        <v>226.49186898206878</v>
      </c>
      <c r="S39" s="26">
        <f>L39*Supuestos!$B$19</f>
        <v>693.31992243773516</v>
      </c>
      <c r="T39" s="26">
        <f t="array" ref="T39">INDEX(Supuestos!$B$37:$F$37,1,$B39)</f>
        <v>1420</v>
      </c>
      <c r="U39" s="26">
        <f>SUMIF(Supuestos!$B$41:$B$43,A39,Supuestos!$C$41:$C$43)</f>
        <v>0</v>
      </c>
      <c r="V39" s="26">
        <f t="shared" si="5"/>
        <v>42528.66491792044</v>
      </c>
      <c r="W39" s="26">
        <f t="shared" si="6"/>
        <v>3692.6632445952418</v>
      </c>
      <c r="X39" s="26">
        <f>SUMIF(Supuestos!$B$45:$B$47,A39,Supuestos!$C$45:$C$47)</f>
        <v>0</v>
      </c>
      <c r="Y39" s="26">
        <f>SUMPRODUCT((Supuestos!$B$45:$B$47&lt;=A39)*(Supuestos!$B$45:$B$47+Supuestos!$B$21&gt;A39)*Supuestos!$C$45:$C$47)/Supuestos!$B$21</f>
        <v>166.66666666666666</v>
      </c>
      <c r="Z39" s="26">
        <f t="shared" si="7"/>
        <v>3525.9965779285753</v>
      </c>
      <c r="AA39" s="26">
        <f>IF(A39&gt;=Supuestos!$B$52,(Supuestos!$B$51-SUM(AC$1:AC38))*Supuestos!$B$53/12,0)</f>
        <v>100</v>
      </c>
      <c r="AB39" s="26">
        <f t="shared" si="8"/>
        <v>3425.9965779285753</v>
      </c>
      <c r="AC39" s="26">
        <f>IF(AND(A39&gt;Supuestos!$B$52+Supuestos!$B$54,A39&lt;=Supuestos!$B$52+Supuestos!$B$54+Supuestos!$B$55),Supuestos!$B$51/Supuestos!$B$55,0)</f>
        <v>1250</v>
      </c>
      <c r="AD39" s="26">
        <f>IF(A39=1,Supuestos!$B$50,0)+IF(A39=Supuestos!$B$52,Supuestos!$B$51,0)+IF(A39=Supuestos!$B$57,Supuestos!$B$56,0)</f>
        <v>0</v>
      </c>
      <c r="AE39" s="26">
        <f t="array" ref="AE39">IF(AND(MOD(A39,12)=0,B39&gt;=2),INDEX(Anual!$B$32:$F$32,1,B39-1),0)</f>
        <v>0</v>
      </c>
      <c r="AF39" s="26">
        <f t="shared" si="10"/>
        <v>64457.075687468416</v>
      </c>
      <c r="AG39" s="14">
        <f>COUNTIF(Plantilla!$D$5:$D$18,"&lt;="&amp;A39)</f>
        <v>10</v>
      </c>
      <c r="AH39" s="14">
        <f t="shared" si="9"/>
        <v>1</v>
      </c>
      <c r="AI39" s="26">
        <f t="array" ref="AI39">SUMPRODUCT((Plantilla!$D$5:$D$18&lt;=A39)*(Plantilla!$C$5:$C$18="Comercial")*INDEX(Plantilla!$E$5:$I$18,0,B39))/12*(1+Supuestos!$B$17)</f>
        <v>10120</v>
      </c>
      <c r="AJ39" s="26">
        <f t="array" ref="AJ39">SUMPRODUCT((Plantilla!$D$5:$D$18&lt;=A39)*(Plantilla!$C$5:$C$18="Customer Success")*INDEX(Plantilla!$E$5:$I$18,0,B39))/12*(1+Supuestos!$B$17)</f>
        <v>6490.0000000000009</v>
      </c>
    </row>
    <row r="40" spans="1:36" ht="15" customHeight="1" x14ac:dyDescent="0.35">
      <c r="A40" s="14">
        <v>39</v>
      </c>
      <c r="B40" s="14">
        <f t="shared" si="0"/>
        <v>4</v>
      </c>
      <c r="C40" s="18">
        <f t="array" ref="C40">IF(A40&lt;Supuestos!$B$13,0,INDEX(Supuestos!$B$27:$F$27,1,$B40)*Supuestos!$B$6)</f>
        <v>8</v>
      </c>
      <c r="D40" s="18">
        <f>IF(A40=Supuestos!$B$13,Supuestos!$B$14,0)</f>
        <v>0</v>
      </c>
      <c r="E40" s="18">
        <f>E39*(1-Supuestos!$B$7)+C40+D40</f>
        <v>124.82212189601441</v>
      </c>
      <c r="F40" s="18">
        <f t="array" ref="F40">INDEX(Supuestos!$B$28:$F$28,1,$B40)</f>
        <v>19</v>
      </c>
      <c r="G40" s="23">
        <f t="shared" si="1"/>
        <v>2371.620316024274</v>
      </c>
      <c r="H40" s="25">
        <f t="array" ref="H40">(Supuestos!$B$11*(1-INDEX(Supuestos!$B$29:$F$29,1,$B40))+Supuestos!$B$12*INDEX(Supuestos!$B$29:$F$29,1,$B40))*(1-INDEX(Supuestos!$B$30:$F$30,1,$B40))*Supuestos!$B$8</f>
        <v>19.170000000000002</v>
      </c>
      <c r="I40" s="26">
        <f t="shared" si="2"/>
        <v>45463.961458185338</v>
      </c>
      <c r="J40" s="26">
        <f t="array" ref="J40">IF(A40&lt;Supuestos!$B$15,0,G40*INDEX(Supuestos!$B$31:$F$31,1,$B40)/12*INDEX(Supuestos!$B$32:$F$32,1,$B40))</f>
        <v>14674.400705400196</v>
      </c>
      <c r="K40" s="26">
        <f>J40*Supuestos!$B$16</f>
        <v>2934.8801410800393</v>
      </c>
      <c r="L40" s="26">
        <f t="shared" si="3"/>
        <v>48398.841599265375</v>
      </c>
      <c r="M40" s="26">
        <f t="array" ref="M40">SUMPRODUCT((Plantilla!$D$5:$D$18&lt;=A40)*INDEX(Plantilla!$E$5:$I$18,0,B40))/12</f>
        <v>26166.666666666668</v>
      </c>
      <c r="N40" s="26">
        <f>M40*Supuestos!$B$17</f>
        <v>8373.3333333333339</v>
      </c>
      <c r="O40" s="26">
        <f t="shared" si="4"/>
        <v>34540</v>
      </c>
      <c r="P40" s="26">
        <f t="array" ref="P40">C40*INDEX(Supuestos!$B$33:$F$33,1,$B40)+INDEX(Supuestos!$B$34:$F$34,1,$B40)+L40*INDEX(Supuestos!$B$35:$F$35,1,$B40)+IF(AND(A40&gt;=4,A40&lt;=6),Supuestos!$B$20/3,0)</f>
        <v>4335.9536639706148</v>
      </c>
      <c r="Q40" s="26">
        <f t="array" ref="Q40">INDEX(Supuestos!$B$36:$F$36,1,$B40)</f>
        <v>1400</v>
      </c>
      <c r="R40" s="26">
        <f>G40*Supuestos!$B$18</f>
        <v>237.16203160242742</v>
      </c>
      <c r="S40" s="26">
        <f>L40*Supuestos!$B$19</f>
        <v>725.98262398898055</v>
      </c>
      <c r="T40" s="26">
        <f t="array" ref="T40">INDEX(Supuestos!$B$37:$F$37,1,$B40)</f>
        <v>1420</v>
      </c>
      <c r="U40" s="26">
        <f>SUMIF(Supuestos!$B$41:$B$43,A40,Supuestos!$C$41:$C$43)</f>
        <v>0</v>
      </c>
      <c r="V40" s="26">
        <f t="shared" si="5"/>
        <v>42659.098319562021</v>
      </c>
      <c r="W40" s="26">
        <f t="shared" si="6"/>
        <v>5739.7432797033543</v>
      </c>
      <c r="X40" s="26">
        <f>SUMIF(Supuestos!$B$45:$B$47,A40,Supuestos!$C$45:$C$47)</f>
        <v>0</v>
      </c>
      <c r="Y40" s="26">
        <f>SUMPRODUCT((Supuestos!$B$45:$B$47&lt;=A40)*(Supuestos!$B$45:$B$47+Supuestos!$B$21&gt;A40)*Supuestos!$C$45:$C$47)/Supuestos!$B$21</f>
        <v>166.66666666666666</v>
      </c>
      <c r="Z40" s="26">
        <f t="shared" si="7"/>
        <v>5573.0766130366874</v>
      </c>
      <c r="AA40" s="26">
        <f>IF(A40&gt;=Supuestos!$B$52,(Supuestos!$B$51-SUM(AC$1:AC39))*Supuestos!$B$53/12,0)</f>
        <v>95.833333333333329</v>
      </c>
      <c r="AB40" s="26">
        <f t="shared" si="8"/>
        <v>5477.2432797033543</v>
      </c>
      <c r="AC40" s="26">
        <f>IF(AND(A40&gt;Supuestos!$B$52+Supuestos!$B$54,A40&lt;=Supuestos!$B$52+Supuestos!$B$54+Supuestos!$B$55),Supuestos!$B$51/Supuestos!$B$55,0)</f>
        <v>1250</v>
      </c>
      <c r="AD40" s="26">
        <f>IF(A40=1,Supuestos!$B$50,0)+IF(A40=Supuestos!$B$52,Supuestos!$B$51,0)+IF(A40=Supuestos!$B$57,Supuestos!$B$56,0)</f>
        <v>0</v>
      </c>
      <c r="AE40" s="26">
        <f t="array" ref="AE40">IF(AND(MOD(A40,12)=0,B40&gt;=2),INDEX(Anual!$B$32:$F$32,1,B40-1),0)</f>
        <v>0</v>
      </c>
      <c r="AF40" s="26">
        <f t="shared" si="10"/>
        <v>68850.985633838442</v>
      </c>
      <c r="AG40" s="14">
        <f>COUNTIF(Plantilla!$D$5:$D$18,"&lt;="&amp;A40)</f>
        <v>10</v>
      </c>
      <c r="AH40" s="14">
        <f t="shared" si="9"/>
        <v>1</v>
      </c>
      <c r="AI40" s="26">
        <f t="array" ref="AI40">SUMPRODUCT((Plantilla!$D$5:$D$18&lt;=A40)*(Plantilla!$C$5:$C$18="Comercial")*INDEX(Plantilla!$E$5:$I$18,0,B40))/12*(1+Supuestos!$B$17)</f>
        <v>10120</v>
      </c>
      <c r="AJ40" s="26">
        <f t="array" ref="AJ40">SUMPRODUCT((Plantilla!$D$5:$D$18&lt;=A40)*(Plantilla!$C$5:$C$18="Customer Success")*INDEX(Plantilla!$E$5:$I$18,0,B40))/12*(1+Supuestos!$B$17)</f>
        <v>6490.0000000000009</v>
      </c>
    </row>
    <row r="41" spans="1:36" ht="15" customHeight="1" x14ac:dyDescent="0.35">
      <c r="A41" s="14">
        <v>40</v>
      </c>
      <c r="B41" s="14">
        <f t="shared" si="0"/>
        <v>4</v>
      </c>
      <c r="C41" s="18">
        <f t="array" ref="C41">IF(A41&lt;Supuestos!$B$13,0,INDEX(Supuestos!$B$27:$F$27,1,$B41)*Supuestos!$B$6)</f>
        <v>8</v>
      </c>
      <c r="D41" s="18">
        <f>IF(A41=Supuestos!$B$13,Supuestos!$B$14,0)</f>
        <v>0</v>
      </c>
      <c r="E41" s="18">
        <f>E40*(1-Supuestos!$B$7)+C41+D41</f>
        <v>130.3256794580941</v>
      </c>
      <c r="F41" s="18">
        <f t="array" ref="F41">INDEX(Supuestos!$B$28:$F$28,1,$B41)</f>
        <v>19</v>
      </c>
      <c r="G41" s="23">
        <f t="shared" si="1"/>
        <v>2476.1879097037881</v>
      </c>
      <c r="H41" s="25">
        <f t="array" ref="H41">(Supuestos!$B$11*(1-INDEX(Supuestos!$B$29:$F$29,1,$B41))+Supuestos!$B$12*INDEX(Supuestos!$B$29:$F$29,1,$B41))*(1-INDEX(Supuestos!$B$30:$F$30,1,$B41))*Supuestos!$B$8</f>
        <v>19.170000000000002</v>
      </c>
      <c r="I41" s="26">
        <f t="shared" si="2"/>
        <v>47468.522229021626</v>
      </c>
      <c r="J41" s="26">
        <f t="array" ref="J41">IF(A41&lt;Supuestos!$B$15,0,G41*INDEX(Supuestos!$B$31:$F$31,1,$B41)/12*INDEX(Supuestos!$B$32:$F$32,1,$B41))</f>
        <v>15321.412691292189</v>
      </c>
      <c r="K41" s="26">
        <f>J41*Supuestos!$B$16</f>
        <v>3064.2825382584379</v>
      </c>
      <c r="L41" s="26">
        <f t="shared" si="3"/>
        <v>50532.80476728006</v>
      </c>
      <c r="M41" s="26">
        <f t="array" ref="M41">SUMPRODUCT((Plantilla!$D$5:$D$18&lt;=A41)*INDEX(Plantilla!$E$5:$I$18,0,B41))/12</f>
        <v>26166.666666666668</v>
      </c>
      <c r="N41" s="26">
        <f>M41*Supuestos!$B$17</f>
        <v>8373.3333333333339</v>
      </c>
      <c r="O41" s="26">
        <f t="shared" si="4"/>
        <v>34540</v>
      </c>
      <c r="P41" s="26">
        <f t="array" ref="P41">C41*INDEX(Supuestos!$B$33:$F$33,1,$B41)+INDEX(Supuestos!$B$34:$F$34,1,$B41)+L41*INDEX(Supuestos!$B$35:$F$35,1,$B41)+IF(AND(A41&gt;=4,A41&lt;=6),Supuestos!$B$20/3,0)</f>
        <v>4421.312190691202</v>
      </c>
      <c r="Q41" s="26">
        <f t="array" ref="Q41">INDEX(Supuestos!$B$36:$F$36,1,$B41)</f>
        <v>1400</v>
      </c>
      <c r="R41" s="26">
        <f>G41*Supuestos!$B$18</f>
        <v>247.61879097037883</v>
      </c>
      <c r="S41" s="26">
        <f>L41*Supuestos!$B$19</f>
        <v>757.99207150920085</v>
      </c>
      <c r="T41" s="26">
        <f t="array" ref="T41">INDEX(Supuestos!$B$37:$F$37,1,$B41)</f>
        <v>1420</v>
      </c>
      <c r="U41" s="26">
        <f>SUMIF(Supuestos!$B$41:$B$43,A41,Supuestos!$C$41:$C$43)</f>
        <v>0</v>
      </c>
      <c r="V41" s="26">
        <f t="shared" si="5"/>
        <v>42786.92305317078</v>
      </c>
      <c r="W41" s="26">
        <f t="shared" si="6"/>
        <v>7745.8817141092804</v>
      </c>
      <c r="X41" s="26">
        <f>SUMIF(Supuestos!$B$45:$B$47,A41,Supuestos!$C$45:$C$47)</f>
        <v>0</v>
      </c>
      <c r="Y41" s="26">
        <f>SUMPRODUCT((Supuestos!$B$45:$B$47&lt;=A41)*(Supuestos!$B$45:$B$47+Supuestos!$B$21&gt;A41)*Supuestos!$C$45:$C$47)/Supuestos!$B$21</f>
        <v>166.66666666666666</v>
      </c>
      <c r="Z41" s="26">
        <f t="shared" si="7"/>
        <v>7579.2150474426135</v>
      </c>
      <c r="AA41" s="26">
        <f>IF(A41&gt;=Supuestos!$B$52,(Supuestos!$B$51-SUM(AC$1:AC40))*Supuestos!$B$53/12,0)</f>
        <v>91.666666666666671</v>
      </c>
      <c r="AB41" s="26">
        <f t="shared" si="8"/>
        <v>7487.5483807759465</v>
      </c>
      <c r="AC41" s="26">
        <f>IF(AND(A41&gt;Supuestos!$B$52+Supuestos!$B$54,A41&lt;=Supuestos!$B$52+Supuestos!$B$54+Supuestos!$B$55),Supuestos!$B$51/Supuestos!$B$55,0)</f>
        <v>1250</v>
      </c>
      <c r="AD41" s="26">
        <f>IF(A41=1,Supuestos!$B$50,0)+IF(A41=Supuestos!$B$52,Supuestos!$B$51,0)+IF(A41=Supuestos!$B$57,Supuestos!$B$56,0)</f>
        <v>0</v>
      </c>
      <c r="AE41" s="26">
        <f t="array" ref="AE41">IF(AND(MOD(A41,12)=0,B41&gt;=2),INDEX(Anual!$B$32:$F$32,1,B41-1),0)</f>
        <v>0</v>
      </c>
      <c r="AF41" s="26">
        <f t="shared" si="10"/>
        <v>75255.200681281058</v>
      </c>
      <c r="AG41" s="14">
        <f>COUNTIF(Plantilla!$D$5:$D$18,"&lt;="&amp;A41)</f>
        <v>10</v>
      </c>
      <c r="AH41" s="14">
        <f t="shared" si="9"/>
        <v>1</v>
      </c>
      <c r="AI41" s="26">
        <f t="array" ref="AI41">SUMPRODUCT((Plantilla!$D$5:$D$18&lt;=A41)*(Plantilla!$C$5:$C$18="Comercial")*INDEX(Plantilla!$E$5:$I$18,0,B41))/12*(1+Supuestos!$B$17)</f>
        <v>10120</v>
      </c>
      <c r="AJ41" s="26">
        <f t="array" ref="AJ41">SUMPRODUCT((Plantilla!$D$5:$D$18&lt;=A41)*(Plantilla!$C$5:$C$18="Customer Success")*INDEX(Plantilla!$E$5:$I$18,0,B41))/12*(1+Supuestos!$B$17)</f>
        <v>6490.0000000000009</v>
      </c>
    </row>
    <row r="42" spans="1:36" ht="15" customHeight="1" x14ac:dyDescent="0.35">
      <c r="A42" s="14">
        <v>41</v>
      </c>
      <c r="B42" s="14">
        <f t="shared" si="0"/>
        <v>4</v>
      </c>
      <c r="C42" s="18">
        <f t="array" ref="C42">IF(A42&lt;Supuestos!$B$13,0,INDEX(Supuestos!$B$27:$F$27,1,$B42)*Supuestos!$B$6)</f>
        <v>8</v>
      </c>
      <c r="D42" s="18">
        <f>IF(A42=Supuestos!$B$13,Supuestos!$B$14,0)</f>
        <v>0</v>
      </c>
      <c r="E42" s="18">
        <f>E41*(1-Supuestos!$B$7)+C42+D42</f>
        <v>135.71916586893224</v>
      </c>
      <c r="F42" s="18">
        <f t="array" ref="F42">INDEX(Supuestos!$B$28:$F$28,1,$B42)</f>
        <v>19</v>
      </c>
      <c r="G42" s="23">
        <f t="shared" si="1"/>
        <v>2578.6641515097126</v>
      </c>
      <c r="H42" s="25">
        <f t="array" ref="H42">(Supuestos!$B$11*(1-INDEX(Supuestos!$B$29:$F$29,1,$B42))+Supuestos!$B$12*INDEX(Supuestos!$B$29:$F$29,1,$B42))*(1-INDEX(Supuestos!$B$30:$F$30,1,$B42))*Supuestos!$B$8</f>
        <v>19.170000000000002</v>
      </c>
      <c r="I42" s="26">
        <f t="shared" si="2"/>
        <v>49432.991784441198</v>
      </c>
      <c r="J42" s="26">
        <f t="array" ref="J42">IF(A42&lt;Supuestos!$B$15,0,G42*INDEX(Supuestos!$B$31:$F$31,1,$B42)/12*INDEX(Supuestos!$B$32:$F$32,1,$B42))</f>
        <v>15955.484437466348</v>
      </c>
      <c r="K42" s="26">
        <f>J42*Supuestos!$B$16</f>
        <v>3191.0968874932696</v>
      </c>
      <c r="L42" s="26">
        <f t="shared" si="3"/>
        <v>52624.088671934471</v>
      </c>
      <c r="M42" s="26">
        <f t="array" ref="M42">SUMPRODUCT((Plantilla!$D$5:$D$18&lt;=A42)*INDEX(Plantilla!$E$5:$I$18,0,B42))/12</f>
        <v>26166.666666666668</v>
      </c>
      <c r="N42" s="26">
        <f>M42*Supuestos!$B$17</f>
        <v>8373.3333333333339</v>
      </c>
      <c r="O42" s="26">
        <f t="shared" si="4"/>
        <v>34540</v>
      </c>
      <c r="P42" s="26">
        <f t="array" ref="P42">C42*INDEX(Supuestos!$B$33:$F$33,1,$B42)+INDEX(Supuestos!$B$34:$F$34,1,$B42)+L42*INDEX(Supuestos!$B$35:$F$35,1,$B42)+IF(AND(A42&gt;=4,A42&lt;=6),Supuestos!$B$20/3,0)</f>
        <v>4504.9635468773795</v>
      </c>
      <c r="Q42" s="26">
        <f t="array" ref="Q42">INDEX(Supuestos!$B$36:$F$36,1,$B42)</f>
        <v>1400</v>
      </c>
      <c r="R42" s="26">
        <f>G42*Supuestos!$B$18</f>
        <v>257.86641515097125</v>
      </c>
      <c r="S42" s="26">
        <f>L42*Supuestos!$B$19</f>
        <v>789.36133007901708</v>
      </c>
      <c r="T42" s="26">
        <f t="array" ref="T42">INDEX(Supuestos!$B$37:$F$37,1,$B42)</f>
        <v>1420</v>
      </c>
      <c r="U42" s="26">
        <f>SUMIF(Supuestos!$B$41:$B$43,A42,Supuestos!$C$41:$C$43)</f>
        <v>0</v>
      </c>
      <c r="V42" s="26">
        <f t="shared" si="5"/>
        <v>42912.191292107367</v>
      </c>
      <c r="W42" s="26">
        <f t="shared" si="6"/>
        <v>9711.8973798271036</v>
      </c>
      <c r="X42" s="26">
        <f>SUMIF(Supuestos!$B$45:$B$47,A42,Supuestos!$C$45:$C$47)</f>
        <v>0</v>
      </c>
      <c r="Y42" s="26">
        <f>SUMPRODUCT((Supuestos!$B$45:$B$47&lt;=A42)*(Supuestos!$B$45:$B$47+Supuestos!$B$21&gt;A42)*Supuestos!$C$45:$C$47)/Supuestos!$B$21</f>
        <v>166.66666666666666</v>
      </c>
      <c r="Z42" s="26">
        <f t="shared" si="7"/>
        <v>9545.2307131604375</v>
      </c>
      <c r="AA42" s="26">
        <f>IF(A42&gt;=Supuestos!$B$52,(Supuestos!$B$51-SUM(AC$1:AC41))*Supuestos!$B$53/12,0)</f>
        <v>87.5</v>
      </c>
      <c r="AB42" s="26">
        <f t="shared" si="8"/>
        <v>9457.7307131604375</v>
      </c>
      <c r="AC42" s="26">
        <f>IF(AND(A42&gt;Supuestos!$B$52+Supuestos!$B$54,A42&lt;=Supuestos!$B$52+Supuestos!$B$54+Supuestos!$B$55),Supuestos!$B$51/Supuestos!$B$55,0)</f>
        <v>1250</v>
      </c>
      <c r="AD42" s="26">
        <f>IF(A42=1,Supuestos!$B$50,0)+IF(A42=Supuestos!$B$52,Supuestos!$B$51,0)+IF(A42=Supuestos!$B$57,Supuestos!$B$56,0)</f>
        <v>0</v>
      </c>
      <c r="AE42" s="26">
        <f t="array" ref="AE42">IF(AND(MOD(A42,12)=0,B42&gt;=2),INDEX(Anual!$B$32:$F$32,1,B42-1),0)</f>
        <v>0</v>
      </c>
      <c r="AF42" s="26">
        <f t="shared" si="10"/>
        <v>83629.598061108161</v>
      </c>
      <c r="AG42" s="14">
        <f>COUNTIF(Plantilla!$D$5:$D$18,"&lt;="&amp;A42)</f>
        <v>10</v>
      </c>
      <c r="AH42" s="14">
        <f t="shared" si="9"/>
        <v>1</v>
      </c>
      <c r="AI42" s="26">
        <f t="array" ref="AI42">SUMPRODUCT((Plantilla!$D$5:$D$18&lt;=A42)*(Plantilla!$C$5:$C$18="Comercial")*INDEX(Plantilla!$E$5:$I$18,0,B42))/12*(1+Supuestos!$B$17)</f>
        <v>10120</v>
      </c>
      <c r="AJ42" s="26">
        <f t="array" ref="AJ42">SUMPRODUCT((Plantilla!$D$5:$D$18&lt;=A42)*(Plantilla!$C$5:$C$18="Customer Success")*INDEX(Plantilla!$E$5:$I$18,0,B42))/12*(1+Supuestos!$B$17)</f>
        <v>6490.0000000000009</v>
      </c>
    </row>
    <row r="43" spans="1:36" ht="15" customHeight="1" x14ac:dyDescent="0.35">
      <c r="A43" s="14">
        <v>42</v>
      </c>
      <c r="B43" s="14">
        <f t="shared" si="0"/>
        <v>4</v>
      </c>
      <c r="C43" s="18">
        <f t="array" ref="C43">IF(A43&lt;Supuestos!$B$13,0,INDEX(Supuestos!$B$27:$F$27,1,$B43)*Supuestos!$B$6)</f>
        <v>8</v>
      </c>
      <c r="D43" s="18">
        <f>IF(A43=Supuestos!$B$13,Supuestos!$B$14,0)</f>
        <v>0</v>
      </c>
      <c r="E43" s="18">
        <f>E42*(1-Supuestos!$B$7)+C43+D43</f>
        <v>141.0047825515536</v>
      </c>
      <c r="F43" s="18">
        <f t="array" ref="F43">INDEX(Supuestos!$B$28:$F$28,1,$B43)</f>
        <v>19</v>
      </c>
      <c r="G43" s="23">
        <f t="shared" si="1"/>
        <v>2679.0908684795186</v>
      </c>
      <c r="H43" s="25">
        <f t="array" ref="H43">(Supuestos!$B$11*(1-INDEX(Supuestos!$B$29:$F$29,1,$B43))+Supuestos!$B$12*INDEX(Supuestos!$B$29:$F$29,1,$B43))*(1-INDEX(Supuestos!$B$30:$F$30,1,$B43))*Supuestos!$B$8</f>
        <v>19.170000000000002</v>
      </c>
      <c r="I43" s="26">
        <f t="shared" si="2"/>
        <v>51358.171948752373</v>
      </c>
      <c r="J43" s="26">
        <f t="array" ref="J43">IF(A43&lt;Supuestos!$B$15,0,G43*INDEX(Supuestos!$B$31:$F$31,1,$B43)/12*INDEX(Supuestos!$B$32:$F$32,1,$B43))</f>
        <v>16576.874748717026</v>
      </c>
      <c r="K43" s="26">
        <f>J43*Supuestos!$B$16</f>
        <v>3315.3749497434055</v>
      </c>
      <c r="L43" s="26">
        <f t="shared" si="3"/>
        <v>54673.546898495777</v>
      </c>
      <c r="M43" s="26">
        <f t="array" ref="M43">SUMPRODUCT((Plantilla!$D$5:$D$18&lt;=A43)*INDEX(Plantilla!$E$5:$I$18,0,B43))/12</f>
        <v>26166.666666666668</v>
      </c>
      <c r="N43" s="26">
        <f>M43*Supuestos!$B$17</f>
        <v>8373.3333333333339</v>
      </c>
      <c r="O43" s="26">
        <f t="shared" si="4"/>
        <v>34540</v>
      </c>
      <c r="P43" s="26">
        <f t="array" ref="P43">C43*INDEX(Supuestos!$B$33:$F$33,1,$B43)+INDEX(Supuestos!$B$34:$F$34,1,$B43)+L43*INDEX(Supuestos!$B$35:$F$35,1,$B43)+IF(AND(A43&gt;=4,A43&lt;=6),Supuestos!$B$20/3,0)</f>
        <v>4586.9418759398313</v>
      </c>
      <c r="Q43" s="26">
        <f t="array" ref="Q43">INDEX(Supuestos!$B$36:$F$36,1,$B43)</f>
        <v>1400</v>
      </c>
      <c r="R43" s="26">
        <f>G43*Supuestos!$B$18</f>
        <v>267.90908684795187</v>
      </c>
      <c r="S43" s="26">
        <f>L43*Supuestos!$B$19</f>
        <v>820.10320347743664</v>
      </c>
      <c r="T43" s="26">
        <f t="array" ref="T43">INDEX(Supuestos!$B$37:$F$37,1,$B43)</f>
        <v>1420</v>
      </c>
      <c r="U43" s="26">
        <f>SUMIF(Supuestos!$B$41:$B$43,A43,Supuestos!$C$41:$C$43)</f>
        <v>0</v>
      </c>
      <c r="V43" s="26">
        <f t="shared" si="5"/>
        <v>43034.954166265226</v>
      </c>
      <c r="W43" s="26">
        <f t="shared" si="6"/>
        <v>11638.592732230551</v>
      </c>
      <c r="X43" s="26">
        <f>SUMIF(Supuestos!$B$45:$B$47,A43,Supuestos!$C$45:$C$47)</f>
        <v>0</v>
      </c>
      <c r="Y43" s="26">
        <f>SUMPRODUCT((Supuestos!$B$45:$B$47&lt;=A43)*(Supuestos!$B$45:$B$47+Supuestos!$B$21&gt;A43)*Supuestos!$C$45:$C$47)/Supuestos!$B$21</f>
        <v>166.66666666666666</v>
      </c>
      <c r="Z43" s="26">
        <f t="shared" si="7"/>
        <v>11471.926065563885</v>
      </c>
      <c r="AA43" s="26">
        <f>IF(A43&gt;=Supuestos!$B$52,(Supuestos!$B$51-SUM(AC$1:AC42))*Supuestos!$B$53/12,0)</f>
        <v>83.333333333333329</v>
      </c>
      <c r="AB43" s="26">
        <f t="shared" si="8"/>
        <v>11388.592732230551</v>
      </c>
      <c r="AC43" s="26">
        <f>IF(AND(A43&gt;Supuestos!$B$52+Supuestos!$B$54,A43&lt;=Supuestos!$B$52+Supuestos!$B$54+Supuestos!$B$55),Supuestos!$B$51/Supuestos!$B$55,0)</f>
        <v>1250</v>
      </c>
      <c r="AD43" s="26">
        <f>IF(A43=1,Supuestos!$B$50,0)+IF(A43=Supuestos!$B$52,Supuestos!$B$51,0)+IF(A43=Supuestos!$B$57,Supuestos!$B$56,0)</f>
        <v>0</v>
      </c>
      <c r="AE43" s="26">
        <f t="array" ref="AE43">IF(AND(MOD(A43,12)=0,B43&gt;=2),INDEX(Anual!$B$32:$F$32,1,B43-1),0)</f>
        <v>0</v>
      </c>
      <c r="AF43" s="26">
        <f t="shared" si="10"/>
        <v>93934.857460005369</v>
      </c>
      <c r="AG43" s="14">
        <f>COUNTIF(Plantilla!$D$5:$D$18,"&lt;="&amp;A43)</f>
        <v>10</v>
      </c>
      <c r="AH43" s="14">
        <f t="shared" si="9"/>
        <v>1</v>
      </c>
      <c r="AI43" s="26">
        <f t="array" ref="AI43">SUMPRODUCT((Plantilla!$D$5:$D$18&lt;=A43)*(Plantilla!$C$5:$C$18="Comercial")*INDEX(Plantilla!$E$5:$I$18,0,B43))/12*(1+Supuestos!$B$17)</f>
        <v>10120</v>
      </c>
      <c r="AJ43" s="26">
        <f t="array" ref="AJ43">SUMPRODUCT((Plantilla!$D$5:$D$18&lt;=A43)*(Plantilla!$C$5:$C$18="Customer Success")*INDEX(Plantilla!$E$5:$I$18,0,B43))/12*(1+Supuestos!$B$17)</f>
        <v>6490.0000000000009</v>
      </c>
    </row>
    <row r="44" spans="1:36" ht="15" customHeight="1" x14ac:dyDescent="0.35">
      <c r="A44" s="14">
        <v>43</v>
      </c>
      <c r="B44" s="14">
        <f t="shared" si="0"/>
        <v>4</v>
      </c>
      <c r="C44" s="18">
        <f t="array" ref="C44">IF(A44&lt;Supuestos!$B$13,0,INDEX(Supuestos!$B$27:$F$27,1,$B44)*Supuestos!$B$6)</f>
        <v>8</v>
      </c>
      <c r="D44" s="18">
        <f>IF(A44=Supuestos!$B$13,Supuestos!$B$14,0)</f>
        <v>0</v>
      </c>
      <c r="E44" s="18">
        <f>E43*(1-Supuestos!$B$7)+C44+D44</f>
        <v>146.18468690052254</v>
      </c>
      <c r="F44" s="18">
        <f t="array" ref="F44">INDEX(Supuestos!$B$28:$F$28,1,$B44)</f>
        <v>19</v>
      </c>
      <c r="G44" s="23">
        <f t="shared" si="1"/>
        <v>2777.5090511099284</v>
      </c>
      <c r="H44" s="25">
        <f t="array" ref="H44">(Supuestos!$B$11*(1-INDEX(Supuestos!$B$29:$F$29,1,$B44))+Supuestos!$B$12*INDEX(Supuestos!$B$29:$F$29,1,$B44))*(1-INDEX(Supuestos!$B$30:$F$30,1,$B44))*Supuestos!$B$8</f>
        <v>19.170000000000002</v>
      </c>
      <c r="I44" s="26">
        <f t="shared" si="2"/>
        <v>53244.84850977733</v>
      </c>
      <c r="J44" s="26">
        <f t="array" ref="J44">IF(A44&lt;Supuestos!$B$15,0,G44*INDEX(Supuestos!$B$31:$F$31,1,$B44)/12*INDEX(Supuestos!$B$32:$F$32,1,$B44))</f>
        <v>17185.837253742684</v>
      </c>
      <c r="K44" s="26">
        <f>J44*Supuestos!$B$16</f>
        <v>3437.1674507485368</v>
      </c>
      <c r="L44" s="26">
        <f t="shared" si="3"/>
        <v>56682.015960525867</v>
      </c>
      <c r="M44" s="26">
        <f t="array" ref="M44">SUMPRODUCT((Plantilla!$D$5:$D$18&lt;=A44)*INDEX(Plantilla!$E$5:$I$18,0,B44))/12</f>
        <v>30416.666666666668</v>
      </c>
      <c r="N44" s="26">
        <f>M44*Supuestos!$B$17</f>
        <v>9733.3333333333339</v>
      </c>
      <c r="O44" s="26">
        <f t="shared" si="4"/>
        <v>40150</v>
      </c>
      <c r="P44" s="26">
        <f t="array" ref="P44">C44*INDEX(Supuestos!$B$33:$F$33,1,$B44)+INDEX(Supuestos!$B$34:$F$34,1,$B44)+L44*INDEX(Supuestos!$B$35:$F$35,1,$B44)+IF(AND(A44&gt;=4,A44&lt;=6),Supuestos!$B$20/3,0)</f>
        <v>4667.2806384210344</v>
      </c>
      <c r="Q44" s="26">
        <f t="array" ref="Q44">INDEX(Supuestos!$B$36:$F$36,1,$B44)</f>
        <v>1400</v>
      </c>
      <c r="R44" s="26">
        <f>G44*Supuestos!$B$18</f>
        <v>277.75090511099285</v>
      </c>
      <c r="S44" s="26">
        <f>L44*Supuestos!$B$19</f>
        <v>850.23023940788801</v>
      </c>
      <c r="T44" s="26">
        <f t="array" ref="T44">INDEX(Supuestos!$B$37:$F$37,1,$B44)</f>
        <v>1420</v>
      </c>
      <c r="U44" s="26">
        <f>SUMIF(Supuestos!$B$41:$B$43,A44,Supuestos!$C$41:$C$43)</f>
        <v>0</v>
      </c>
      <c r="V44" s="26">
        <f t="shared" si="5"/>
        <v>48765.261782939917</v>
      </c>
      <c r="W44" s="26">
        <f t="shared" si="6"/>
        <v>7916.7541775859499</v>
      </c>
      <c r="X44" s="26">
        <f>SUMIF(Supuestos!$B$45:$B$47,A44,Supuestos!$C$45:$C$47)</f>
        <v>0</v>
      </c>
      <c r="Y44" s="26">
        <f>SUMPRODUCT((Supuestos!$B$45:$B$47&lt;=A44)*(Supuestos!$B$45:$B$47+Supuestos!$B$21&gt;A44)*Supuestos!$C$45:$C$47)/Supuestos!$B$21</f>
        <v>166.66666666666666</v>
      </c>
      <c r="Z44" s="26">
        <f t="shared" si="7"/>
        <v>7750.087510919283</v>
      </c>
      <c r="AA44" s="26">
        <f>IF(A44&gt;=Supuestos!$B$52,(Supuestos!$B$51-SUM(AC$1:AC43))*Supuestos!$B$53/12,0)</f>
        <v>79.166666666666671</v>
      </c>
      <c r="AB44" s="26">
        <f t="shared" si="8"/>
        <v>7670.920844252616</v>
      </c>
      <c r="AC44" s="26">
        <f>IF(AND(A44&gt;Supuestos!$B$52+Supuestos!$B$54,A44&lt;=Supuestos!$B$52+Supuestos!$B$54+Supuestos!$B$55),Supuestos!$B$51/Supuestos!$B$55,0)</f>
        <v>1250</v>
      </c>
      <c r="AD44" s="26">
        <f>IF(A44=1,Supuestos!$B$50,0)+IF(A44=Supuestos!$B$52,Supuestos!$B$51,0)+IF(A44=Supuestos!$B$57,Supuestos!$B$56,0)</f>
        <v>0</v>
      </c>
      <c r="AE44" s="26">
        <f t="array" ref="AE44">IF(AND(MOD(A44,12)=0,B44&gt;=2),INDEX(Anual!$B$32:$F$32,1,B44-1),0)</f>
        <v>0</v>
      </c>
      <c r="AF44" s="26">
        <f t="shared" si="10"/>
        <v>100522.44497092463</v>
      </c>
      <c r="AG44" s="14">
        <f>COUNTIF(Plantilla!$D$5:$D$18,"&lt;="&amp;A44)</f>
        <v>12</v>
      </c>
      <c r="AH44" s="14">
        <f t="shared" si="9"/>
        <v>1</v>
      </c>
      <c r="AI44" s="26">
        <f t="array" ref="AI44">SUMPRODUCT((Plantilla!$D$5:$D$18&lt;=A44)*(Plantilla!$C$5:$C$18="Comercial")*INDEX(Plantilla!$E$5:$I$18,0,B44))/12*(1+Supuestos!$B$17)</f>
        <v>10120</v>
      </c>
      <c r="AJ44" s="26">
        <f t="array" ref="AJ44">SUMPRODUCT((Plantilla!$D$5:$D$18&lt;=A44)*(Plantilla!$C$5:$C$18="Customer Success")*INDEX(Plantilla!$E$5:$I$18,0,B44))/12*(1+Supuestos!$B$17)</f>
        <v>9240</v>
      </c>
    </row>
    <row r="45" spans="1:36" ht="15" customHeight="1" x14ac:dyDescent="0.35">
      <c r="A45" s="14">
        <v>44</v>
      </c>
      <c r="B45" s="14">
        <f t="shared" si="0"/>
        <v>4</v>
      </c>
      <c r="C45" s="18">
        <f t="array" ref="C45">IF(A45&lt;Supuestos!$B$13,0,INDEX(Supuestos!$B$27:$F$27,1,$B45)*Supuestos!$B$6)</f>
        <v>8</v>
      </c>
      <c r="D45" s="18">
        <f>IF(A45=Supuestos!$B$13,Supuestos!$B$14,0)</f>
        <v>0</v>
      </c>
      <c r="E45" s="18">
        <f>E44*(1-Supuestos!$B$7)+C45+D45</f>
        <v>151.26099316251208</v>
      </c>
      <c r="F45" s="18">
        <f t="array" ref="F45">INDEX(Supuestos!$B$28:$F$28,1,$B45)</f>
        <v>19</v>
      </c>
      <c r="G45" s="23">
        <f t="shared" si="1"/>
        <v>2873.9588700877293</v>
      </c>
      <c r="H45" s="25">
        <f t="array" ref="H45">(Supuestos!$B$11*(1-INDEX(Supuestos!$B$29:$F$29,1,$B45))+Supuestos!$B$12*INDEX(Supuestos!$B$29:$F$29,1,$B45))*(1-INDEX(Supuestos!$B$30:$F$30,1,$B45))*Supuestos!$B$8</f>
        <v>19.170000000000002</v>
      </c>
      <c r="I45" s="26">
        <f t="shared" si="2"/>
        <v>55093.791539581776</v>
      </c>
      <c r="J45" s="26">
        <f t="array" ref="J45">IF(A45&lt;Supuestos!$B$15,0,G45*INDEX(Supuestos!$B$31:$F$31,1,$B45)/12*INDEX(Supuestos!$B$32:$F$32,1,$B45))</f>
        <v>17782.620508667827</v>
      </c>
      <c r="K45" s="26">
        <f>J45*Supuestos!$B$16</f>
        <v>3556.5241017335657</v>
      </c>
      <c r="L45" s="26">
        <f t="shared" si="3"/>
        <v>58650.315641315341</v>
      </c>
      <c r="M45" s="26">
        <f t="array" ref="M45">SUMPRODUCT((Plantilla!$D$5:$D$18&lt;=A45)*INDEX(Plantilla!$E$5:$I$18,0,B45))/12</f>
        <v>30416.666666666668</v>
      </c>
      <c r="N45" s="26">
        <f>M45*Supuestos!$B$17</f>
        <v>9733.3333333333339</v>
      </c>
      <c r="O45" s="26">
        <f t="shared" si="4"/>
        <v>40150</v>
      </c>
      <c r="P45" s="26">
        <f t="array" ref="P45">C45*INDEX(Supuestos!$B$33:$F$33,1,$B45)+INDEX(Supuestos!$B$34:$F$34,1,$B45)+L45*INDEX(Supuestos!$B$35:$F$35,1,$B45)+IF(AND(A45&gt;=4,A45&lt;=6),Supuestos!$B$20/3,0)</f>
        <v>4746.0126256526137</v>
      </c>
      <c r="Q45" s="26">
        <f t="array" ref="Q45">INDEX(Supuestos!$B$36:$F$36,1,$B45)</f>
        <v>1400</v>
      </c>
      <c r="R45" s="26">
        <f>G45*Supuestos!$B$18</f>
        <v>287.39588700877295</v>
      </c>
      <c r="S45" s="26">
        <f>L45*Supuestos!$B$19</f>
        <v>879.75473461973013</v>
      </c>
      <c r="T45" s="26">
        <f t="array" ref="T45">INDEX(Supuestos!$B$37:$F$37,1,$B45)</f>
        <v>1420</v>
      </c>
      <c r="U45" s="26">
        <f>SUMIF(Supuestos!$B$41:$B$43,A45,Supuestos!$C$41:$C$43)</f>
        <v>0</v>
      </c>
      <c r="V45" s="26">
        <f t="shared" si="5"/>
        <v>48883.163247281118</v>
      </c>
      <c r="W45" s="26">
        <f t="shared" si="6"/>
        <v>9767.1523940342231</v>
      </c>
      <c r="X45" s="26">
        <f>SUMIF(Supuestos!$B$45:$B$47,A45,Supuestos!$C$45:$C$47)</f>
        <v>0</v>
      </c>
      <c r="Y45" s="26">
        <f>SUMPRODUCT((Supuestos!$B$45:$B$47&lt;=A45)*(Supuestos!$B$45:$B$47+Supuestos!$B$21&gt;A45)*Supuestos!$C$45:$C$47)/Supuestos!$B$21</f>
        <v>166.66666666666666</v>
      </c>
      <c r="Z45" s="26">
        <f t="shared" si="7"/>
        <v>9600.485727367557</v>
      </c>
      <c r="AA45" s="26">
        <f>IF(A45&gt;=Supuestos!$B$52,(Supuestos!$B$51-SUM(AC$1:AC44))*Supuestos!$B$53/12,0)</f>
        <v>75</v>
      </c>
      <c r="AB45" s="26">
        <f t="shared" si="8"/>
        <v>9525.485727367557</v>
      </c>
      <c r="AC45" s="26">
        <f>IF(AND(A45&gt;Supuestos!$B$52+Supuestos!$B$54,A45&lt;=Supuestos!$B$52+Supuestos!$B$54+Supuestos!$B$55),Supuestos!$B$51/Supuestos!$B$55,0)</f>
        <v>1250</v>
      </c>
      <c r="AD45" s="26">
        <f>IF(A45=1,Supuestos!$B$50,0)+IF(A45=Supuestos!$B$52,Supuestos!$B$51,0)+IF(A45=Supuestos!$B$57,Supuestos!$B$56,0)</f>
        <v>0</v>
      </c>
      <c r="AE45" s="26">
        <f t="array" ref="AE45">IF(AND(MOD(A45,12)=0,B45&gt;=2),INDEX(Anual!$B$32:$F$32,1,B45-1),0)</f>
        <v>0</v>
      </c>
      <c r="AF45" s="26">
        <f t="shared" si="10"/>
        <v>108964.59736495886</v>
      </c>
      <c r="AG45" s="14">
        <f>COUNTIF(Plantilla!$D$5:$D$18,"&lt;="&amp;A45)</f>
        <v>12</v>
      </c>
      <c r="AH45" s="14">
        <f t="shared" si="9"/>
        <v>1</v>
      </c>
      <c r="AI45" s="26">
        <f t="array" ref="AI45">SUMPRODUCT((Plantilla!$D$5:$D$18&lt;=A45)*(Plantilla!$C$5:$C$18="Comercial")*INDEX(Plantilla!$E$5:$I$18,0,B45))/12*(1+Supuestos!$B$17)</f>
        <v>10120</v>
      </c>
      <c r="AJ45" s="26">
        <f t="array" ref="AJ45">SUMPRODUCT((Plantilla!$D$5:$D$18&lt;=A45)*(Plantilla!$C$5:$C$18="Customer Success")*INDEX(Plantilla!$E$5:$I$18,0,B45))/12*(1+Supuestos!$B$17)</f>
        <v>9240</v>
      </c>
    </row>
    <row r="46" spans="1:36" ht="15" customHeight="1" x14ac:dyDescent="0.35">
      <c r="A46" s="14">
        <v>45</v>
      </c>
      <c r="B46" s="14">
        <f t="shared" si="0"/>
        <v>4</v>
      </c>
      <c r="C46" s="18">
        <f t="array" ref="C46">IF(A46&lt;Supuestos!$B$13,0,INDEX(Supuestos!$B$27:$F$27,1,$B46)*Supuestos!$B$6)</f>
        <v>8</v>
      </c>
      <c r="D46" s="18">
        <f>IF(A46=Supuestos!$B$13,Supuestos!$B$14,0)</f>
        <v>0</v>
      </c>
      <c r="E46" s="18">
        <f>E45*(1-Supuestos!$B$7)+C46+D46</f>
        <v>156.23577329926184</v>
      </c>
      <c r="F46" s="18">
        <f t="array" ref="F46">INDEX(Supuestos!$B$28:$F$28,1,$B46)</f>
        <v>19</v>
      </c>
      <c r="G46" s="23">
        <f t="shared" si="1"/>
        <v>2968.4796926859749</v>
      </c>
      <c r="H46" s="25">
        <f t="array" ref="H46">(Supuestos!$B$11*(1-INDEX(Supuestos!$B$29:$F$29,1,$B46))+Supuestos!$B$12*INDEX(Supuestos!$B$29:$F$29,1,$B46))*(1-INDEX(Supuestos!$B$30:$F$30,1,$B46))*Supuestos!$B$8</f>
        <v>19.170000000000002</v>
      </c>
      <c r="I46" s="26">
        <f t="shared" si="2"/>
        <v>56905.755708790144</v>
      </c>
      <c r="J46" s="26">
        <f t="array" ref="J46">IF(A46&lt;Supuestos!$B$15,0,G46*INDEX(Supuestos!$B$31:$F$31,1,$B46)/12*INDEX(Supuestos!$B$32:$F$32,1,$B46))</f>
        <v>18367.468098494472</v>
      </c>
      <c r="K46" s="26">
        <f>J46*Supuestos!$B$16</f>
        <v>3673.4936196988947</v>
      </c>
      <c r="L46" s="26">
        <f t="shared" si="3"/>
        <v>60579.249328489037</v>
      </c>
      <c r="M46" s="26">
        <f t="array" ref="M46">SUMPRODUCT((Plantilla!$D$5:$D$18&lt;=A46)*INDEX(Plantilla!$E$5:$I$18,0,B46))/12</f>
        <v>30416.666666666668</v>
      </c>
      <c r="N46" s="26">
        <f>M46*Supuestos!$B$17</f>
        <v>9733.3333333333339</v>
      </c>
      <c r="O46" s="26">
        <f t="shared" si="4"/>
        <v>40150</v>
      </c>
      <c r="P46" s="26">
        <f t="array" ref="P46">C46*INDEX(Supuestos!$B$33:$F$33,1,$B46)+INDEX(Supuestos!$B$34:$F$34,1,$B46)+L46*INDEX(Supuestos!$B$35:$F$35,1,$B46)+IF(AND(A46&gt;=4,A46&lt;=6),Supuestos!$B$20/3,0)</f>
        <v>4823.169973139562</v>
      </c>
      <c r="Q46" s="26">
        <f t="array" ref="Q46">INDEX(Supuestos!$B$36:$F$36,1,$B46)</f>
        <v>1400</v>
      </c>
      <c r="R46" s="26">
        <f>G46*Supuestos!$B$18</f>
        <v>296.84796926859752</v>
      </c>
      <c r="S46" s="26">
        <f>L46*Supuestos!$B$19</f>
        <v>908.68873992733552</v>
      </c>
      <c r="T46" s="26">
        <f t="array" ref="T46">INDEX(Supuestos!$B$37:$F$37,1,$B46)</f>
        <v>1420</v>
      </c>
      <c r="U46" s="26">
        <f>SUMIF(Supuestos!$B$41:$B$43,A46,Supuestos!$C$41:$C$43)</f>
        <v>0</v>
      </c>
      <c r="V46" s="26">
        <f t="shared" si="5"/>
        <v>48998.706682335491</v>
      </c>
      <c r="W46" s="26">
        <f t="shared" si="6"/>
        <v>11580.542646153546</v>
      </c>
      <c r="X46" s="26">
        <f>SUMIF(Supuestos!$B$45:$B$47,A46,Supuestos!$C$45:$C$47)</f>
        <v>0</v>
      </c>
      <c r="Y46" s="26">
        <f>SUMPRODUCT((Supuestos!$B$45:$B$47&lt;=A46)*(Supuestos!$B$45:$B$47+Supuestos!$B$21&gt;A46)*Supuestos!$C$45:$C$47)/Supuestos!$B$21</f>
        <v>166.66666666666666</v>
      </c>
      <c r="Z46" s="26">
        <f t="shared" si="7"/>
        <v>11413.87597948688</v>
      </c>
      <c r="AA46" s="26">
        <f>IF(A46&gt;=Supuestos!$B$52,(Supuestos!$B$51-SUM(AC$1:AC45))*Supuestos!$B$53/12,0)</f>
        <v>70.833333333333329</v>
      </c>
      <c r="AB46" s="26">
        <f t="shared" si="8"/>
        <v>11343.042646153546</v>
      </c>
      <c r="AC46" s="26">
        <f>IF(AND(A46&gt;Supuestos!$B$52+Supuestos!$B$54,A46&lt;=Supuestos!$B$52+Supuestos!$B$54+Supuestos!$B$55),Supuestos!$B$51/Supuestos!$B$55,0)</f>
        <v>1250</v>
      </c>
      <c r="AD46" s="26">
        <f>IF(A46=1,Supuestos!$B$50,0)+IF(A46=Supuestos!$B$52,Supuestos!$B$51,0)+IF(A46=Supuestos!$B$57,Supuestos!$B$56,0)</f>
        <v>0</v>
      </c>
      <c r="AE46" s="26">
        <f t="array" ref="AE46">IF(AND(MOD(A46,12)=0,B46&gt;=2),INDEX(Anual!$B$32:$F$32,1,B46-1),0)</f>
        <v>0</v>
      </c>
      <c r="AF46" s="26">
        <f t="shared" si="10"/>
        <v>119224.30667777908</v>
      </c>
      <c r="AG46" s="14">
        <f>COUNTIF(Plantilla!$D$5:$D$18,"&lt;="&amp;A46)</f>
        <v>12</v>
      </c>
      <c r="AH46" s="14">
        <f t="shared" si="9"/>
        <v>1</v>
      </c>
      <c r="AI46" s="26">
        <f t="array" ref="AI46">SUMPRODUCT((Plantilla!$D$5:$D$18&lt;=A46)*(Plantilla!$C$5:$C$18="Comercial")*INDEX(Plantilla!$E$5:$I$18,0,B46))/12*(1+Supuestos!$B$17)</f>
        <v>10120</v>
      </c>
      <c r="AJ46" s="26">
        <f t="array" ref="AJ46">SUMPRODUCT((Plantilla!$D$5:$D$18&lt;=A46)*(Plantilla!$C$5:$C$18="Customer Success")*INDEX(Plantilla!$E$5:$I$18,0,B46))/12*(1+Supuestos!$B$17)</f>
        <v>9240</v>
      </c>
    </row>
    <row r="47" spans="1:36" ht="15" customHeight="1" x14ac:dyDescent="0.35">
      <c r="A47" s="14">
        <v>46</v>
      </c>
      <c r="B47" s="14">
        <f t="shared" si="0"/>
        <v>4</v>
      </c>
      <c r="C47" s="18">
        <f t="array" ref="C47">IF(A47&lt;Supuestos!$B$13,0,INDEX(Supuestos!$B$27:$F$27,1,$B47)*Supuestos!$B$6)</f>
        <v>8</v>
      </c>
      <c r="D47" s="18">
        <f>IF(A47=Supuestos!$B$13,Supuestos!$B$14,0)</f>
        <v>0</v>
      </c>
      <c r="E47" s="18">
        <f>E46*(1-Supuestos!$B$7)+C47+D47</f>
        <v>161.11105783327659</v>
      </c>
      <c r="F47" s="18">
        <f t="array" ref="F47">INDEX(Supuestos!$B$28:$F$28,1,$B47)</f>
        <v>19</v>
      </c>
      <c r="G47" s="23">
        <f t="shared" si="1"/>
        <v>3061.1100988322551</v>
      </c>
      <c r="H47" s="25">
        <f t="array" ref="H47">(Supuestos!$B$11*(1-INDEX(Supuestos!$B$29:$F$29,1,$B47))+Supuestos!$B$12*INDEX(Supuestos!$B$29:$F$29,1,$B47))*(1-INDEX(Supuestos!$B$30:$F$30,1,$B47))*Supuestos!$B$8</f>
        <v>19.170000000000002</v>
      </c>
      <c r="I47" s="26">
        <f t="shared" si="2"/>
        <v>58681.480594614331</v>
      </c>
      <c r="J47" s="26">
        <f t="array" ref="J47">IF(A47&lt;Supuestos!$B$15,0,G47*INDEX(Supuestos!$B$31:$F$31,1,$B47)/12*INDEX(Supuestos!$B$32:$F$32,1,$B47))</f>
        <v>18940.618736524582</v>
      </c>
      <c r="K47" s="26">
        <f>J47*Supuestos!$B$16</f>
        <v>3788.1237473049168</v>
      </c>
      <c r="L47" s="26">
        <f t="shared" si="3"/>
        <v>62469.60434191925</v>
      </c>
      <c r="M47" s="26">
        <f t="array" ref="M47">SUMPRODUCT((Plantilla!$D$5:$D$18&lt;=A47)*INDEX(Plantilla!$E$5:$I$18,0,B47))/12</f>
        <v>32750</v>
      </c>
      <c r="N47" s="26">
        <f>M47*Supuestos!$B$17</f>
        <v>10480</v>
      </c>
      <c r="O47" s="26">
        <f t="shared" si="4"/>
        <v>43230</v>
      </c>
      <c r="P47" s="26">
        <f t="array" ref="P47">C47*INDEX(Supuestos!$B$33:$F$33,1,$B47)+INDEX(Supuestos!$B$34:$F$34,1,$B47)+L47*INDEX(Supuestos!$B$35:$F$35,1,$B47)+IF(AND(A47&gt;=4,A47&lt;=6),Supuestos!$B$20/3,0)</f>
        <v>4898.7841736767696</v>
      </c>
      <c r="Q47" s="26">
        <f t="array" ref="Q47">INDEX(Supuestos!$B$36:$F$36,1,$B47)</f>
        <v>1400</v>
      </c>
      <c r="R47" s="26">
        <f>G47*Supuestos!$B$18</f>
        <v>306.11100988322551</v>
      </c>
      <c r="S47" s="26">
        <f>L47*Supuestos!$B$19</f>
        <v>937.0440651287887</v>
      </c>
      <c r="T47" s="26">
        <f t="array" ref="T47">INDEX(Supuestos!$B$37:$F$37,1,$B47)</f>
        <v>1420</v>
      </c>
      <c r="U47" s="26">
        <f>SUMIF(Supuestos!$B$41:$B$43,A47,Supuestos!$C$41:$C$43)</f>
        <v>0</v>
      </c>
      <c r="V47" s="26">
        <f t="shared" si="5"/>
        <v>52191.939248688788</v>
      </c>
      <c r="W47" s="26">
        <f t="shared" si="6"/>
        <v>10277.665093230462</v>
      </c>
      <c r="X47" s="26">
        <f>SUMIF(Supuestos!$B$45:$B$47,A47,Supuestos!$C$45:$C$47)</f>
        <v>0</v>
      </c>
      <c r="Y47" s="26">
        <f>SUMPRODUCT((Supuestos!$B$45:$B$47&lt;=A47)*(Supuestos!$B$45:$B$47+Supuestos!$B$21&gt;A47)*Supuestos!$C$45:$C$47)/Supuestos!$B$21</f>
        <v>166.66666666666666</v>
      </c>
      <c r="Z47" s="26">
        <f t="shared" si="7"/>
        <v>10110.998426563796</v>
      </c>
      <c r="AA47" s="26">
        <f>IF(A47&gt;=Supuestos!$B$52,(Supuestos!$B$51-SUM(AC$1:AC46))*Supuestos!$B$53/12,0)</f>
        <v>66.666666666666671</v>
      </c>
      <c r="AB47" s="26">
        <f t="shared" si="8"/>
        <v>10044.33175989713</v>
      </c>
      <c r="AC47" s="26">
        <f>IF(AND(A47&gt;Supuestos!$B$52+Supuestos!$B$54,A47&lt;=Supuestos!$B$52+Supuestos!$B$54+Supuestos!$B$55),Supuestos!$B$51/Supuestos!$B$55,0)</f>
        <v>1250</v>
      </c>
      <c r="AD47" s="26">
        <f>IF(A47=1,Supuestos!$B$50,0)+IF(A47=Supuestos!$B$52,Supuestos!$B$51,0)+IF(A47=Supuestos!$B$57,Supuestos!$B$56,0)</f>
        <v>0</v>
      </c>
      <c r="AE47" s="26">
        <f t="array" ref="AE47">IF(AND(MOD(A47,12)=0,B47&gt;=2),INDEX(Anual!$B$32:$F$32,1,B47-1),0)</f>
        <v>0</v>
      </c>
      <c r="AF47" s="26">
        <f t="shared" si="10"/>
        <v>128185.30510434289</v>
      </c>
      <c r="AG47" s="14">
        <f>COUNTIF(Plantilla!$D$5:$D$18,"&lt;="&amp;A47)</f>
        <v>13</v>
      </c>
      <c r="AH47" s="14">
        <f t="shared" si="9"/>
        <v>1</v>
      </c>
      <c r="AI47" s="26">
        <f t="array" ref="AI47">SUMPRODUCT((Plantilla!$D$5:$D$18&lt;=A47)*(Plantilla!$C$5:$C$18="Comercial")*INDEX(Plantilla!$E$5:$I$18,0,B47))/12*(1+Supuestos!$B$17)</f>
        <v>13200</v>
      </c>
      <c r="AJ47" s="26">
        <f t="array" ref="AJ47">SUMPRODUCT((Plantilla!$D$5:$D$18&lt;=A47)*(Plantilla!$C$5:$C$18="Customer Success")*INDEX(Plantilla!$E$5:$I$18,0,B47))/12*(1+Supuestos!$B$17)</f>
        <v>9240</v>
      </c>
    </row>
    <row r="48" spans="1:36" ht="15" customHeight="1" x14ac:dyDescent="0.35">
      <c r="A48" s="14">
        <v>47</v>
      </c>
      <c r="B48" s="14">
        <f t="shared" si="0"/>
        <v>4</v>
      </c>
      <c r="C48" s="18">
        <f t="array" ref="C48">IF(A48&lt;Supuestos!$B$13,0,INDEX(Supuestos!$B$27:$F$27,1,$B48)*Supuestos!$B$6)</f>
        <v>8</v>
      </c>
      <c r="D48" s="18">
        <f>IF(A48=Supuestos!$B$13,Supuestos!$B$14,0)</f>
        <v>0</v>
      </c>
      <c r="E48" s="18">
        <f>E47*(1-Supuestos!$B$7)+C48+D48</f>
        <v>165.88883667661105</v>
      </c>
      <c r="F48" s="18">
        <f t="array" ref="F48">INDEX(Supuestos!$B$28:$F$28,1,$B48)</f>
        <v>19</v>
      </c>
      <c r="G48" s="23">
        <f t="shared" si="1"/>
        <v>3151.8878968556101</v>
      </c>
      <c r="H48" s="25">
        <f t="array" ref="H48">(Supuestos!$B$11*(1-INDEX(Supuestos!$B$29:$F$29,1,$B48))+Supuestos!$B$12*INDEX(Supuestos!$B$29:$F$29,1,$B48))*(1-INDEX(Supuestos!$B$30:$F$30,1,$B48))*Supuestos!$B$8</f>
        <v>19.170000000000002</v>
      </c>
      <c r="I48" s="26">
        <f t="shared" si="2"/>
        <v>60421.690982722052</v>
      </c>
      <c r="J48" s="26">
        <f t="array" ref="J48">IF(A48&lt;Supuestos!$B$15,0,G48*INDEX(Supuestos!$B$31:$F$31,1,$B48)/12*INDEX(Supuestos!$B$32:$F$32,1,$B48))</f>
        <v>19502.306361794086</v>
      </c>
      <c r="K48" s="26">
        <f>J48*Supuestos!$B$16</f>
        <v>3900.4612723588175</v>
      </c>
      <c r="L48" s="26">
        <f t="shared" si="3"/>
        <v>64322.152255080866</v>
      </c>
      <c r="M48" s="26">
        <f t="array" ref="M48">SUMPRODUCT((Plantilla!$D$5:$D$18&lt;=A48)*INDEX(Plantilla!$E$5:$I$18,0,B48))/12</f>
        <v>32750</v>
      </c>
      <c r="N48" s="26">
        <f>M48*Supuestos!$B$17</f>
        <v>10480</v>
      </c>
      <c r="O48" s="26">
        <f t="shared" si="4"/>
        <v>43230</v>
      </c>
      <c r="P48" s="26">
        <f t="array" ref="P48">C48*INDEX(Supuestos!$B$33:$F$33,1,$B48)+INDEX(Supuestos!$B$34:$F$34,1,$B48)+L48*INDEX(Supuestos!$B$35:$F$35,1,$B48)+IF(AND(A48&gt;=4,A48&lt;=6),Supuestos!$B$20/3,0)</f>
        <v>4972.8860902032347</v>
      </c>
      <c r="Q48" s="26">
        <f t="array" ref="Q48">INDEX(Supuestos!$B$36:$F$36,1,$B48)</f>
        <v>1400</v>
      </c>
      <c r="R48" s="26">
        <f>G48*Supuestos!$B$18</f>
        <v>315.18878968556101</v>
      </c>
      <c r="S48" s="26">
        <f>L48*Supuestos!$B$19</f>
        <v>964.83228382621292</v>
      </c>
      <c r="T48" s="26">
        <f t="array" ref="T48">INDEX(Supuestos!$B$37:$F$37,1,$B48)</f>
        <v>1420</v>
      </c>
      <c r="U48" s="26">
        <f>SUMIF(Supuestos!$B$41:$B$43,A48,Supuestos!$C$41:$C$43)</f>
        <v>0</v>
      </c>
      <c r="V48" s="26">
        <f t="shared" si="5"/>
        <v>52302.907163715005</v>
      </c>
      <c r="W48" s="26">
        <f t="shared" si="6"/>
        <v>12019.245091365861</v>
      </c>
      <c r="X48" s="26">
        <f>SUMIF(Supuestos!$B$45:$B$47,A48,Supuestos!$C$45:$C$47)</f>
        <v>0</v>
      </c>
      <c r="Y48" s="26">
        <f>SUMPRODUCT((Supuestos!$B$45:$B$47&lt;=A48)*(Supuestos!$B$45:$B$47+Supuestos!$B$21&gt;A48)*Supuestos!$C$45:$C$47)/Supuestos!$B$21</f>
        <v>166.66666666666666</v>
      </c>
      <c r="Z48" s="26">
        <f t="shared" si="7"/>
        <v>11852.578424699195</v>
      </c>
      <c r="AA48" s="26">
        <f>IF(A48&gt;=Supuestos!$B$52,(Supuestos!$B$51-SUM(AC$1:AC47))*Supuestos!$B$53/12,0)</f>
        <v>62.5</v>
      </c>
      <c r="AB48" s="26">
        <f t="shared" si="8"/>
        <v>11790.078424699195</v>
      </c>
      <c r="AC48" s="26">
        <f>IF(AND(A48&gt;Supuestos!$B$52+Supuestos!$B$54,A48&lt;=Supuestos!$B$52+Supuestos!$B$54+Supuestos!$B$55),Supuestos!$B$51/Supuestos!$B$55,0)</f>
        <v>1250</v>
      </c>
      <c r="AD48" s="26">
        <f>IF(A48=1,Supuestos!$B$50,0)+IF(A48=Supuestos!$B$52,Supuestos!$B$51,0)+IF(A48=Supuestos!$B$57,Supuestos!$B$56,0)</f>
        <v>0</v>
      </c>
      <c r="AE48" s="26">
        <f t="array" ref="AE48">IF(AND(MOD(A48,12)=0,B48&gt;=2),INDEX(Anual!$B$32:$F$32,1,B48-1),0)</f>
        <v>0</v>
      </c>
      <c r="AF48" s="26">
        <f t="shared" si="10"/>
        <v>138892.05019570875</v>
      </c>
      <c r="AG48" s="14">
        <f>COUNTIF(Plantilla!$D$5:$D$18,"&lt;="&amp;A48)</f>
        <v>13</v>
      </c>
      <c r="AH48" s="14">
        <f t="shared" si="9"/>
        <v>1</v>
      </c>
      <c r="AI48" s="26">
        <f t="array" ref="AI48">SUMPRODUCT((Plantilla!$D$5:$D$18&lt;=A48)*(Plantilla!$C$5:$C$18="Comercial")*INDEX(Plantilla!$E$5:$I$18,0,B48))/12*(1+Supuestos!$B$17)</f>
        <v>13200</v>
      </c>
      <c r="AJ48" s="26">
        <f t="array" ref="AJ48">SUMPRODUCT((Plantilla!$D$5:$D$18&lt;=A48)*(Plantilla!$C$5:$C$18="Customer Success")*INDEX(Plantilla!$E$5:$I$18,0,B48))/12*(1+Supuestos!$B$17)</f>
        <v>9240</v>
      </c>
    </row>
    <row r="49" spans="1:36" ht="15" customHeight="1" x14ac:dyDescent="0.35">
      <c r="A49" s="14">
        <v>48</v>
      </c>
      <c r="B49" s="14">
        <f t="shared" si="0"/>
        <v>4</v>
      </c>
      <c r="C49" s="18">
        <f t="array" ref="C49">IF(A49&lt;Supuestos!$B$13,0,INDEX(Supuestos!$B$27:$F$27,1,$B49)*Supuestos!$B$6)</f>
        <v>8</v>
      </c>
      <c r="D49" s="18">
        <f>IF(A49=Supuestos!$B$13,Supuestos!$B$14,0)</f>
        <v>0</v>
      </c>
      <c r="E49" s="18">
        <f>E48*(1-Supuestos!$B$7)+C49+D49</f>
        <v>170.57105994307884</v>
      </c>
      <c r="F49" s="18">
        <f t="array" ref="F49">INDEX(Supuestos!$B$28:$F$28,1,$B49)</f>
        <v>19</v>
      </c>
      <c r="G49" s="23">
        <f t="shared" si="1"/>
        <v>3240.850138918498</v>
      </c>
      <c r="H49" s="25">
        <f t="array" ref="H49">(Supuestos!$B$11*(1-INDEX(Supuestos!$B$29:$F$29,1,$B49))+Supuestos!$B$12*INDEX(Supuestos!$B$29:$F$29,1,$B49))*(1-INDEX(Supuestos!$B$30:$F$30,1,$B49))*Supuestos!$B$8</f>
        <v>19.170000000000002</v>
      </c>
      <c r="I49" s="26">
        <f t="shared" si="2"/>
        <v>62127.097163067614</v>
      </c>
      <c r="J49" s="26">
        <f t="array" ref="J49">IF(A49&lt;Supuestos!$B$15,0,G49*INDEX(Supuestos!$B$31:$F$31,1,$B49)/12*INDEX(Supuestos!$B$32:$F$32,1,$B49))</f>
        <v>20052.760234558209</v>
      </c>
      <c r="K49" s="26">
        <f>J49*Supuestos!$B$16</f>
        <v>4010.5520469116418</v>
      </c>
      <c r="L49" s="26">
        <f t="shared" si="3"/>
        <v>66137.649209979252</v>
      </c>
      <c r="M49" s="26">
        <f t="array" ref="M49">SUMPRODUCT((Plantilla!$D$5:$D$18&lt;=A49)*INDEX(Plantilla!$E$5:$I$18,0,B49))/12</f>
        <v>32750</v>
      </c>
      <c r="N49" s="26">
        <f>M49*Supuestos!$B$17</f>
        <v>10480</v>
      </c>
      <c r="O49" s="26">
        <f t="shared" si="4"/>
        <v>43230</v>
      </c>
      <c r="P49" s="26">
        <f t="array" ref="P49">C49*INDEX(Supuestos!$B$33:$F$33,1,$B49)+INDEX(Supuestos!$B$34:$F$34,1,$B49)+L49*INDEX(Supuestos!$B$35:$F$35,1,$B49)+IF(AND(A49&gt;=4,A49&lt;=6),Supuestos!$B$20/3,0)</f>
        <v>5045.5059683991703</v>
      </c>
      <c r="Q49" s="26">
        <f t="array" ref="Q49">INDEX(Supuestos!$B$36:$F$36,1,$B49)</f>
        <v>1400</v>
      </c>
      <c r="R49" s="26">
        <f>G49*Supuestos!$B$18</f>
        <v>324.08501389184983</v>
      </c>
      <c r="S49" s="26">
        <f>L49*Supuestos!$B$19</f>
        <v>992.06473814968876</v>
      </c>
      <c r="T49" s="26">
        <f t="array" ref="T49">INDEX(Supuestos!$B$37:$F$37,1,$B49)</f>
        <v>1420</v>
      </c>
      <c r="U49" s="26">
        <f>SUMIF(Supuestos!$B$41:$B$43,A49,Supuestos!$C$41:$C$43)</f>
        <v>0</v>
      </c>
      <c r="V49" s="26">
        <f t="shared" si="5"/>
        <v>52411.655720440707</v>
      </c>
      <c r="W49" s="26">
        <f t="shared" si="6"/>
        <v>13725.993489538545</v>
      </c>
      <c r="X49" s="26">
        <f>SUMIF(Supuestos!$B$45:$B$47,A49,Supuestos!$C$45:$C$47)</f>
        <v>0</v>
      </c>
      <c r="Y49" s="26">
        <f>SUMPRODUCT((Supuestos!$B$45:$B$47&lt;=A49)*(Supuestos!$B$45:$B$47+Supuestos!$B$21&gt;A49)*Supuestos!$C$45:$C$47)/Supuestos!$B$21</f>
        <v>166.66666666666666</v>
      </c>
      <c r="Z49" s="26">
        <f t="shared" si="7"/>
        <v>13559.326822871879</v>
      </c>
      <c r="AA49" s="26">
        <f>IF(A49&gt;=Supuestos!$B$52,(Supuestos!$B$51-SUM(AC$1:AC48))*Supuestos!$B$53/12,0)</f>
        <v>58.333333333333336</v>
      </c>
      <c r="AB49" s="26">
        <f t="shared" si="8"/>
        <v>13500.993489538545</v>
      </c>
      <c r="AC49" s="26">
        <f>IF(AND(A49&gt;Supuestos!$B$52+Supuestos!$B$54,A49&lt;=Supuestos!$B$52+Supuestos!$B$54+Supuestos!$B$55),Supuestos!$B$51/Supuestos!$B$55,0)</f>
        <v>1250</v>
      </c>
      <c r="AD49" s="26">
        <f>IF(A49=1,Supuestos!$B$50,0)+IF(A49=Supuestos!$B$52,Supuestos!$B$51,0)+IF(A49=Supuestos!$B$57,Supuestos!$B$56,0)</f>
        <v>0</v>
      </c>
      <c r="AE49" s="26">
        <f t="array" ref="AE49">IF(AND(MOD(A49,12)=0,B49&gt;=2),INDEX(Anual!$B$32:$F$32,1,B49-1),0)</f>
        <v>0</v>
      </c>
      <c r="AF49" s="26">
        <f t="shared" si="10"/>
        <v>151309.71035191396</v>
      </c>
      <c r="AG49" s="14">
        <f>COUNTIF(Plantilla!$D$5:$D$18,"&lt;="&amp;A49)</f>
        <v>13</v>
      </c>
      <c r="AH49" s="14">
        <f t="shared" si="9"/>
        <v>1</v>
      </c>
      <c r="AI49" s="26">
        <f t="array" ref="AI49">SUMPRODUCT((Plantilla!$D$5:$D$18&lt;=A49)*(Plantilla!$C$5:$C$18="Comercial")*INDEX(Plantilla!$E$5:$I$18,0,B49))/12*(1+Supuestos!$B$17)</f>
        <v>13200</v>
      </c>
      <c r="AJ49" s="26">
        <f t="array" ref="AJ49">SUMPRODUCT((Plantilla!$D$5:$D$18&lt;=A49)*(Plantilla!$C$5:$C$18="Customer Success")*INDEX(Plantilla!$E$5:$I$18,0,B49))/12*(1+Supuestos!$B$17)</f>
        <v>9240</v>
      </c>
    </row>
    <row r="50" spans="1:36" ht="15" customHeight="1" x14ac:dyDescent="0.35">
      <c r="A50" s="14">
        <v>49</v>
      </c>
      <c r="B50" s="14">
        <f t="shared" si="0"/>
        <v>5</v>
      </c>
      <c r="C50" s="18">
        <f t="array" ref="C50">IF(A50&lt;Supuestos!$B$13,0,INDEX(Supuestos!$B$27:$F$27,1,$B50)*Supuestos!$B$6)</f>
        <v>9</v>
      </c>
      <c r="D50" s="18">
        <f>IF(A50=Supuestos!$B$13,Supuestos!$B$14,0)</f>
        <v>0</v>
      </c>
      <c r="E50" s="18">
        <f>E49*(1-Supuestos!$B$7)+C50+D50</f>
        <v>176.15963874421726</v>
      </c>
      <c r="F50" s="18">
        <f t="array" ref="F50">INDEX(Supuestos!$B$28:$F$28,1,$B50)</f>
        <v>19</v>
      </c>
      <c r="G50" s="23">
        <f t="shared" si="1"/>
        <v>3347.0331361401281</v>
      </c>
      <c r="H50" s="25">
        <f t="array" ref="H50">(Supuestos!$B$11*(1-INDEX(Supuestos!$B$29:$F$29,1,$B50))+Supuestos!$B$12*INDEX(Supuestos!$B$29:$F$29,1,$B50))*(1-INDEX(Supuestos!$B$30:$F$30,1,$B50))*Supuestos!$B$8</f>
        <v>19.8</v>
      </c>
      <c r="I50" s="26">
        <f t="shared" si="2"/>
        <v>66271.256095574543</v>
      </c>
      <c r="J50" s="26">
        <f t="array" ref="J50">IF(A50&lt;Supuestos!$B$15,0,G50*INDEX(Supuestos!$B$31:$F$31,1,$B50)/12*INDEX(Supuestos!$B$32:$F$32,1,$B50))</f>
        <v>25102.748521050962</v>
      </c>
      <c r="K50" s="26">
        <f>J50*Supuestos!$B$16</f>
        <v>5020.5497042101924</v>
      </c>
      <c r="L50" s="26">
        <f t="shared" si="3"/>
        <v>71291.805799784735</v>
      </c>
      <c r="M50" s="26">
        <f t="array" ref="M50">SUMPRODUCT((Plantilla!$D$5:$D$18&lt;=A50)*INDEX(Plantilla!$E$5:$I$18,0,B50))/12</f>
        <v>34833.333333333336</v>
      </c>
      <c r="N50" s="26">
        <f>M50*Supuestos!$B$17</f>
        <v>11146.666666666668</v>
      </c>
      <c r="O50" s="26">
        <f t="shared" si="4"/>
        <v>45980</v>
      </c>
      <c r="P50" s="26">
        <f t="array" ref="P50">C50*INDEX(Supuestos!$B$33:$F$33,1,$B50)+INDEX(Supuestos!$B$34:$F$34,1,$B50)+L50*INDEX(Supuestos!$B$35:$F$35,1,$B50)+IF(AND(A50&gt;=4,A50&lt;=6),Supuestos!$B$20/3,0)</f>
        <v>5451.6722319913897</v>
      </c>
      <c r="Q50" s="26">
        <f t="array" ref="Q50">INDEX(Supuestos!$B$36:$F$36,1,$B50)</f>
        <v>2200</v>
      </c>
      <c r="R50" s="26">
        <f>G50*Supuestos!$B$18</f>
        <v>334.70331361401281</v>
      </c>
      <c r="S50" s="26">
        <f>L50*Supuestos!$B$19</f>
        <v>1069.3770869967709</v>
      </c>
      <c r="T50" s="26">
        <f t="array" ref="T50">INDEX(Supuestos!$B$37:$F$37,1,$B50)</f>
        <v>1720</v>
      </c>
      <c r="U50" s="26">
        <f>SUMIF(Supuestos!$B$41:$B$43,A50,Supuestos!$C$41:$C$43)</f>
        <v>0</v>
      </c>
      <c r="V50" s="26">
        <f t="shared" si="5"/>
        <v>56755.752632602176</v>
      </c>
      <c r="W50" s="26">
        <f t="shared" si="6"/>
        <v>14536.053167182559</v>
      </c>
      <c r="X50" s="26">
        <f>SUMIF(Supuestos!$B$45:$B$47,A50,Supuestos!$C$45:$C$47)</f>
        <v>0</v>
      </c>
      <c r="Y50" s="26">
        <f>SUMPRODUCT((Supuestos!$B$45:$B$47&lt;=A50)*(Supuestos!$B$45:$B$47+Supuestos!$B$21&gt;A50)*Supuestos!$C$45:$C$47)/Supuestos!$B$21</f>
        <v>166.66666666666666</v>
      </c>
      <c r="Z50" s="26">
        <f t="shared" si="7"/>
        <v>14369.386500515893</v>
      </c>
      <c r="AA50" s="26">
        <f>IF(A50&gt;=Supuestos!$B$52,(Supuestos!$B$51-SUM(AC$1:AC49))*Supuestos!$B$53/12,0)</f>
        <v>54.166666666666664</v>
      </c>
      <c r="AB50" s="26">
        <f t="shared" si="8"/>
        <v>14315.219833849227</v>
      </c>
      <c r="AC50" s="26">
        <f>IF(AND(A50&gt;Supuestos!$B$52+Supuestos!$B$54,A50&lt;=Supuestos!$B$52+Supuestos!$B$54+Supuestos!$B$55),Supuestos!$B$51/Supuestos!$B$55,0)</f>
        <v>1250</v>
      </c>
      <c r="AD50" s="26">
        <f>IF(A50=1,Supuestos!$B$50,0)+IF(A50=Supuestos!$B$52,Supuestos!$B$51,0)+IF(A50=Supuestos!$B$57,Supuestos!$B$56,0)</f>
        <v>0</v>
      </c>
      <c r="AE50" s="26">
        <f t="array" ref="AE50">IF(AND(MOD(A50,12)=0,B50&gt;=2),INDEX(Anual!$B$32:$F$32,1,B50-1),0)</f>
        <v>0</v>
      </c>
      <c r="AF50" s="26">
        <f t="shared" si="10"/>
        <v>164541.59685242988</v>
      </c>
      <c r="AG50" s="14">
        <f>COUNTIF(Plantilla!$D$5:$D$18,"&lt;="&amp;A50)</f>
        <v>13</v>
      </c>
      <c r="AH50" s="14">
        <f t="shared" si="9"/>
        <v>1</v>
      </c>
      <c r="AI50" s="26">
        <f t="array" ref="AI50">SUMPRODUCT((Plantilla!$D$5:$D$18&lt;=A50)*(Plantilla!$C$5:$C$18="Comercial")*INDEX(Plantilla!$E$5:$I$18,0,B50))/12*(1+Supuestos!$B$17)</f>
        <v>13970.000000000002</v>
      </c>
      <c r="AJ50" s="26">
        <f t="array" ref="AJ50">SUMPRODUCT((Plantilla!$D$5:$D$18&lt;=A50)*(Plantilla!$C$5:$C$18="Customer Success")*INDEX(Plantilla!$E$5:$I$18,0,B50))/12*(1+Supuestos!$B$17)</f>
        <v>9900</v>
      </c>
    </row>
    <row r="51" spans="1:36" ht="15" customHeight="1" x14ac:dyDescent="0.35">
      <c r="A51" s="14">
        <v>50</v>
      </c>
      <c r="B51" s="14">
        <f t="shared" si="0"/>
        <v>5</v>
      </c>
      <c r="C51" s="18">
        <f t="array" ref="C51">IF(A51&lt;Supuestos!$B$13,0,INDEX(Supuestos!$B$27:$F$27,1,$B51)*Supuestos!$B$6)</f>
        <v>9</v>
      </c>
      <c r="D51" s="18">
        <f>IF(A51=Supuestos!$B$13,Supuestos!$B$14,0)</f>
        <v>0</v>
      </c>
      <c r="E51" s="18">
        <f>E50*(1-Supuestos!$B$7)+C51+D51</f>
        <v>181.63644596933293</v>
      </c>
      <c r="F51" s="18">
        <f t="array" ref="F51">INDEX(Supuestos!$B$28:$F$28,1,$B51)</f>
        <v>19</v>
      </c>
      <c r="G51" s="23">
        <f t="shared" si="1"/>
        <v>3451.0924734173254</v>
      </c>
      <c r="H51" s="25">
        <f t="array" ref="H51">(Supuestos!$B$11*(1-INDEX(Supuestos!$B$29:$F$29,1,$B51))+Supuestos!$B$12*INDEX(Supuestos!$B$29:$F$29,1,$B51))*(1-INDEX(Supuestos!$B$30:$F$30,1,$B51))*Supuestos!$B$8</f>
        <v>19.8</v>
      </c>
      <c r="I51" s="26">
        <f t="shared" si="2"/>
        <v>68331.63097366305</v>
      </c>
      <c r="J51" s="26">
        <f t="array" ref="J51">IF(A51&lt;Supuestos!$B$15,0,G51*INDEX(Supuestos!$B$31:$F$31,1,$B51)/12*INDEX(Supuestos!$B$32:$F$32,1,$B51))</f>
        <v>25883.193550629941</v>
      </c>
      <c r="K51" s="26">
        <f>J51*Supuestos!$B$16</f>
        <v>5176.6387101259888</v>
      </c>
      <c r="L51" s="26">
        <f t="shared" si="3"/>
        <v>73508.26968378904</v>
      </c>
      <c r="M51" s="26">
        <f t="array" ref="M51">SUMPRODUCT((Plantilla!$D$5:$D$18&lt;=A51)*INDEX(Plantilla!$E$5:$I$18,0,B51))/12</f>
        <v>34833.333333333336</v>
      </c>
      <c r="N51" s="26">
        <f>M51*Supuestos!$B$17</f>
        <v>11146.666666666668</v>
      </c>
      <c r="O51" s="26">
        <f t="shared" si="4"/>
        <v>45980</v>
      </c>
      <c r="P51" s="26">
        <f t="array" ref="P51">C51*INDEX(Supuestos!$B$33:$F$33,1,$B51)+INDEX(Supuestos!$B$34:$F$34,1,$B51)+L51*INDEX(Supuestos!$B$35:$F$35,1,$B51)+IF(AND(A51&gt;=4,A51&lt;=6),Supuestos!$B$20/3,0)</f>
        <v>5540.3307873515623</v>
      </c>
      <c r="Q51" s="26">
        <f t="array" ref="Q51">INDEX(Supuestos!$B$36:$F$36,1,$B51)</f>
        <v>2200</v>
      </c>
      <c r="R51" s="26">
        <f>G51*Supuestos!$B$18</f>
        <v>345.10924734173256</v>
      </c>
      <c r="S51" s="26">
        <f>L51*Supuestos!$B$19</f>
        <v>1102.6240452568356</v>
      </c>
      <c r="T51" s="26">
        <f t="array" ref="T51">INDEX(Supuestos!$B$37:$F$37,1,$B51)</f>
        <v>1720</v>
      </c>
      <c r="U51" s="26">
        <f>SUMIF(Supuestos!$B$41:$B$43,A51,Supuestos!$C$41:$C$43)</f>
        <v>0</v>
      </c>
      <c r="V51" s="26">
        <f t="shared" si="5"/>
        <v>56888.064079950127</v>
      </c>
      <c r="W51" s="26">
        <f t="shared" si="6"/>
        <v>16620.205603838913</v>
      </c>
      <c r="X51" s="26">
        <f>SUMIF(Supuestos!$B$45:$B$47,A51,Supuestos!$C$45:$C$47)</f>
        <v>0</v>
      </c>
      <c r="Y51" s="26">
        <f>SUMPRODUCT((Supuestos!$B$45:$B$47&lt;=A51)*(Supuestos!$B$45:$B$47+Supuestos!$B$21&gt;A51)*Supuestos!$C$45:$C$47)/Supuestos!$B$21</f>
        <v>166.66666666666666</v>
      </c>
      <c r="Z51" s="26">
        <f t="shared" si="7"/>
        <v>16453.538937172245</v>
      </c>
      <c r="AA51" s="26">
        <f>IF(A51&gt;=Supuestos!$B$52,(Supuestos!$B$51-SUM(AC$1:AC50))*Supuestos!$B$53/12,0)</f>
        <v>50</v>
      </c>
      <c r="AB51" s="26">
        <f t="shared" si="8"/>
        <v>16403.538937172245</v>
      </c>
      <c r="AC51" s="26">
        <f>IF(AND(A51&gt;Supuestos!$B$52+Supuestos!$B$54,A51&lt;=Supuestos!$B$52+Supuestos!$B$54+Supuestos!$B$55),Supuestos!$B$51/Supuestos!$B$55,0)</f>
        <v>1250</v>
      </c>
      <c r="AD51" s="26">
        <f>IF(A51=1,Supuestos!$B$50,0)+IF(A51=Supuestos!$B$52,Supuestos!$B$51,0)+IF(A51=Supuestos!$B$57,Supuestos!$B$56,0)</f>
        <v>0</v>
      </c>
      <c r="AE51" s="26">
        <f t="array" ref="AE51">IF(AND(MOD(A51,12)=0,B51&gt;=2),INDEX(Anual!$B$32:$F$32,1,B51-1),0)</f>
        <v>0</v>
      </c>
      <c r="AF51" s="26">
        <f t="shared" si="10"/>
        <v>179861.80245626878</v>
      </c>
      <c r="AG51" s="14">
        <f>COUNTIF(Plantilla!$D$5:$D$18,"&lt;="&amp;A51)</f>
        <v>13</v>
      </c>
      <c r="AH51" s="14">
        <f t="shared" si="9"/>
        <v>1</v>
      </c>
      <c r="AI51" s="26">
        <f t="array" ref="AI51">SUMPRODUCT((Plantilla!$D$5:$D$18&lt;=A51)*(Plantilla!$C$5:$C$18="Comercial")*INDEX(Plantilla!$E$5:$I$18,0,B51))/12*(1+Supuestos!$B$17)</f>
        <v>13970.000000000002</v>
      </c>
      <c r="AJ51" s="26">
        <f t="array" ref="AJ51">SUMPRODUCT((Plantilla!$D$5:$D$18&lt;=A51)*(Plantilla!$C$5:$C$18="Customer Success")*INDEX(Plantilla!$E$5:$I$18,0,B51))/12*(1+Supuestos!$B$17)</f>
        <v>9900</v>
      </c>
    </row>
    <row r="52" spans="1:36" ht="15" customHeight="1" x14ac:dyDescent="0.35">
      <c r="A52" s="14">
        <v>51</v>
      </c>
      <c r="B52" s="14">
        <f t="shared" si="0"/>
        <v>5</v>
      </c>
      <c r="C52" s="18">
        <f t="array" ref="C52">IF(A52&lt;Supuestos!$B$13,0,INDEX(Supuestos!$B$27:$F$27,1,$B52)*Supuestos!$B$6)</f>
        <v>9</v>
      </c>
      <c r="D52" s="18">
        <f>IF(A52=Supuestos!$B$13,Supuestos!$B$14,0)</f>
        <v>0</v>
      </c>
      <c r="E52" s="18">
        <f>E51*(1-Supuestos!$B$7)+C52+D52</f>
        <v>187.00371704994626</v>
      </c>
      <c r="F52" s="18">
        <f t="array" ref="F52">INDEX(Supuestos!$B$28:$F$28,1,$B52)</f>
        <v>19</v>
      </c>
      <c r="G52" s="23">
        <f t="shared" si="1"/>
        <v>3553.0706239489791</v>
      </c>
      <c r="H52" s="25">
        <f t="array" ref="H52">(Supuestos!$B$11*(1-INDEX(Supuestos!$B$29:$F$29,1,$B52))+Supuestos!$B$12*INDEX(Supuestos!$B$29:$F$29,1,$B52))*(1-INDEX(Supuestos!$B$30:$F$30,1,$B52))*Supuestos!$B$8</f>
        <v>19.8</v>
      </c>
      <c r="I52" s="26">
        <f t="shared" si="2"/>
        <v>70350.798354189785</v>
      </c>
      <c r="J52" s="26">
        <f t="array" ref="J52">IF(A52&lt;Supuestos!$B$15,0,G52*INDEX(Supuestos!$B$31:$F$31,1,$B52)/12*INDEX(Supuestos!$B$32:$F$32,1,$B52))</f>
        <v>26648.029679617342</v>
      </c>
      <c r="K52" s="26">
        <f>J52*Supuestos!$B$16</f>
        <v>5329.6059359234687</v>
      </c>
      <c r="L52" s="26">
        <f t="shared" si="3"/>
        <v>75680.404290113249</v>
      </c>
      <c r="M52" s="26">
        <f t="array" ref="M52">SUMPRODUCT((Plantilla!$D$5:$D$18&lt;=A52)*INDEX(Plantilla!$E$5:$I$18,0,B52))/12</f>
        <v>34833.333333333336</v>
      </c>
      <c r="N52" s="26">
        <f>M52*Supuestos!$B$17</f>
        <v>11146.666666666668</v>
      </c>
      <c r="O52" s="26">
        <f t="shared" si="4"/>
        <v>45980</v>
      </c>
      <c r="P52" s="26">
        <f t="array" ref="P52">C52*INDEX(Supuestos!$B$33:$F$33,1,$B52)+INDEX(Supuestos!$B$34:$F$34,1,$B52)+L52*INDEX(Supuestos!$B$35:$F$35,1,$B52)+IF(AND(A52&gt;=4,A52&lt;=6),Supuestos!$B$20/3,0)</f>
        <v>5627.2161716045302</v>
      </c>
      <c r="Q52" s="26">
        <f t="array" ref="Q52">INDEX(Supuestos!$B$36:$F$36,1,$B52)</f>
        <v>2200</v>
      </c>
      <c r="R52" s="26">
        <f>G52*Supuestos!$B$18</f>
        <v>355.30706239489791</v>
      </c>
      <c r="S52" s="26">
        <f>L52*Supuestos!$B$19</f>
        <v>1135.2060643516986</v>
      </c>
      <c r="T52" s="26">
        <f t="array" ref="T52">INDEX(Supuestos!$B$37:$F$37,1,$B52)</f>
        <v>1720</v>
      </c>
      <c r="U52" s="26">
        <f>SUMIF(Supuestos!$B$41:$B$43,A52,Supuestos!$C$41:$C$43)</f>
        <v>0</v>
      </c>
      <c r="V52" s="26">
        <f t="shared" si="5"/>
        <v>57017.729298351122</v>
      </c>
      <c r="W52" s="26">
        <f t="shared" si="6"/>
        <v>18662.674991762127</v>
      </c>
      <c r="X52" s="26">
        <f>SUMIF(Supuestos!$B$45:$B$47,A52,Supuestos!$C$45:$C$47)</f>
        <v>0</v>
      </c>
      <c r="Y52" s="26">
        <f>SUMPRODUCT((Supuestos!$B$45:$B$47&lt;=A52)*(Supuestos!$B$45:$B$47+Supuestos!$B$21&gt;A52)*Supuestos!$C$45:$C$47)/Supuestos!$B$21</f>
        <v>166.66666666666666</v>
      </c>
      <c r="Z52" s="26">
        <f t="shared" si="7"/>
        <v>18496.008325095459</v>
      </c>
      <c r="AA52" s="26">
        <f>IF(A52&gt;=Supuestos!$B$52,(Supuestos!$B$51-SUM(AC$1:AC51))*Supuestos!$B$53/12,0)</f>
        <v>45.833333333333336</v>
      </c>
      <c r="AB52" s="26">
        <f t="shared" si="8"/>
        <v>18450.174991762127</v>
      </c>
      <c r="AC52" s="26">
        <f>IF(AND(A52&gt;Supuestos!$B$52+Supuestos!$B$54,A52&lt;=Supuestos!$B$52+Supuestos!$B$54+Supuestos!$B$55),Supuestos!$B$51/Supuestos!$B$55,0)</f>
        <v>1250</v>
      </c>
      <c r="AD52" s="26">
        <f>IF(A52=1,Supuestos!$B$50,0)+IF(A52=Supuestos!$B$52,Supuestos!$B$51,0)+IF(A52=Supuestos!$B$57,Supuestos!$B$56,0)</f>
        <v>0</v>
      </c>
      <c r="AE52" s="26">
        <f t="array" ref="AE52">IF(AND(MOD(A52,12)=0,B52&gt;=2),INDEX(Anual!$B$32:$F$32,1,B52-1),0)</f>
        <v>0</v>
      </c>
      <c r="AF52" s="26">
        <f t="shared" si="10"/>
        <v>197228.64411469756</v>
      </c>
      <c r="AG52" s="14">
        <f>COUNTIF(Plantilla!$D$5:$D$18,"&lt;="&amp;A52)</f>
        <v>13</v>
      </c>
      <c r="AH52" s="14">
        <f t="shared" si="9"/>
        <v>1</v>
      </c>
      <c r="AI52" s="26">
        <f t="array" ref="AI52">SUMPRODUCT((Plantilla!$D$5:$D$18&lt;=A52)*(Plantilla!$C$5:$C$18="Comercial")*INDEX(Plantilla!$E$5:$I$18,0,B52))/12*(1+Supuestos!$B$17)</f>
        <v>13970.000000000002</v>
      </c>
      <c r="AJ52" s="26">
        <f t="array" ref="AJ52">SUMPRODUCT((Plantilla!$D$5:$D$18&lt;=A52)*(Plantilla!$C$5:$C$18="Customer Success")*INDEX(Plantilla!$E$5:$I$18,0,B52))/12*(1+Supuestos!$B$17)</f>
        <v>9900</v>
      </c>
    </row>
    <row r="53" spans="1:36" ht="15" customHeight="1" x14ac:dyDescent="0.35">
      <c r="A53" s="14">
        <v>52</v>
      </c>
      <c r="B53" s="14">
        <f t="shared" si="0"/>
        <v>5</v>
      </c>
      <c r="C53" s="18">
        <f t="array" ref="C53">IF(A53&lt;Supuestos!$B$13,0,INDEX(Supuestos!$B$27:$F$27,1,$B53)*Supuestos!$B$6)</f>
        <v>9</v>
      </c>
      <c r="D53" s="18">
        <f>IF(A53=Supuestos!$B$13,Supuestos!$B$14,0)</f>
        <v>0</v>
      </c>
      <c r="E53" s="18">
        <f>E52*(1-Supuestos!$B$7)+C53+D53</f>
        <v>192.26364270894734</v>
      </c>
      <c r="F53" s="18">
        <f t="array" ref="F53">INDEX(Supuestos!$B$28:$F$28,1,$B53)</f>
        <v>19</v>
      </c>
      <c r="G53" s="23">
        <f t="shared" si="1"/>
        <v>3653.0092114699996</v>
      </c>
      <c r="H53" s="25">
        <f t="array" ref="H53">(Supuestos!$B$11*(1-INDEX(Supuestos!$B$29:$F$29,1,$B53))+Supuestos!$B$12*INDEX(Supuestos!$B$29:$F$29,1,$B53))*(1-INDEX(Supuestos!$B$30:$F$30,1,$B53))*Supuestos!$B$8</f>
        <v>19.8</v>
      </c>
      <c r="I53" s="26">
        <f t="shared" si="2"/>
        <v>72329.582387105998</v>
      </c>
      <c r="J53" s="26">
        <f t="array" ref="J53">IF(A53&lt;Supuestos!$B$15,0,G53*INDEX(Supuestos!$B$31:$F$31,1,$B53)/12*INDEX(Supuestos!$B$32:$F$32,1,$B53))</f>
        <v>27397.569086024996</v>
      </c>
      <c r="K53" s="26">
        <f>J53*Supuestos!$B$16</f>
        <v>5479.5138172049992</v>
      </c>
      <c r="L53" s="26">
        <f t="shared" si="3"/>
        <v>77809.096204311005</v>
      </c>
      <c r="M53" s="26">
        <f t="array" ref="M53">SUMPRODUCT((Plantilla!$D$5:$D$18&lt;=A53)*INDEX(Plantilla!$E$5:$I$18,0,B53))/12</f>
        <v>34833.333333333336</v>
      </c>
      <c r="N53" s="26">
        <f>M53*Supuestos!$B$17</f>
        <v>11146.666666666668</v>
      </c>
      <c r="O53" s="26">
        <f t="shared" si="4"/>
        <v>45980</v>
      </c>
      <c r="P53" s="26">
        <f t="array" ref="P53">C53*INDEX(Supuestos!$B$33:$F$33,1,$B53)+INDEX(Supuestos!$B$34:$F$34,1,$B53)+L53*INDEX(Supuestos!$B$35:$F$35,1,$B53)+IF(AND(A53&gt;=4,A53&lt;=6),Supuestos!$B$20/3,0)</f>
        <v>5712.3638481724402</v>
      </c>
      <c r="Q53" s="26">
        <f t="array" ref="Q53">INDEX(Supuestos!$B$36:$F$36,1,$B53)</f>
        <v>2200</v>
      </c>
      <c r="R53" s="26">
        <f>G53*Supuestos!$B$18</f>
        <v>365.300921147</v>
      </c>
      <c r="S53" s="26">
        <f>L53*Supuestos!$B$19</f>
        <v>1167.1364430646649</v>
      </c>
      <c r="T53" s="26">
        <f t="array" ref="T53">INDEX(Supuestos!$B$37:$F$37,1,$B53)</f>
        <v>1720</v>
      </c>
      <c r="U53" s="26">
        <f>SUMIF(Supuestos!$B$41:$B$43,A53,Supuestos!$C$41:$C$43)</f>
        <v>0</v>
      </c>
      <c r="V53" s="26">
        <f t="shared" si="5"/>
        <v>57144.801212384104</v>
      </c>
      <c r="W53" s="26">
        <f t="shared" si="6"/>
        <v>20664.294991926901</v>
      </c>
      <c r="X53" s="26">
        <f>SUMIF(Supuestos!$B$45:$B$47,A53,Supuestos!$C$45:$C$47)</f>
        <v>0</v>
      </c>
      <c r="Y53" s="26">
        <f>SUMPRODUCT((Supuestos!$B$45:$B$47&lt;=A53)*(Supuestos!$B$45:$B$47+Supuestos!$B$21&gt;A53)*Supuestos!$C$45:$C$47)/Supuestos!$B$21</f>
        <v>166.66666666666666</v>
      </c>
      <c r="Z53" s="26">
        <f t="shared" si="7"/>
        <v>20497.628325260233</v>
      </c>
      <c r="AA53" s="26">
        <f>IF(A53&gt;=Supuestos!$B$52,(Supuestos!$B$51-SUM(AC$1:AC52))*Supuestos!$B$53/12,0)</f>
        <v>41.666666666666664</v>
      </c>
      <c r="AB53" s="26">
        <f t="shared" si="8"/>
        <v>20455.961658593566</v>
      </c>
      <c r="AC53" s="26">
        <f>IF(AND(A53&gt;Supuestos!$B$52+Supuestos!$B$54,A53&lt;=Supuestos!$B$52+Supuestos!$B$54+Supuestos!$B$55),Supuestos!$B$51/Supuestos!$B$55,0)</f>
        <v>1250</v>
      </c>
      <c r="AD53" s="26">
        <f>IF(A53=1,Supuestos!$B$50,0)+IF(A53=Supuestos!$B$52,Supuestos!$B$51,0)+IF(A53=Supuestos!$B$57,Supuestos!$B$56,0)</f>
        <v>0</v>
      </c>
      <c r="AE53" s="26">
        <f t="array" ref="AE53">IF(AND(MOD(A53,12)=0,B53&gt;=2),INDEX(Anual!$B$32:$F$32,1,B53-1),0)</f>
        <v>0</v>
      </c>
      <c r="AF53" s="26">
        <f t="shared" si="10"/>
        <v>216601.27243995783</v>
      </c>
      <c r="AG53" s="14">
        <f>COUNTIF(Plantilla!$D$5:$D$18,"&lt;="&amp;A53)</f>
        <v>13</v>
      </c>
      <c r="AH53" s="14">
        <f t="shared" si="9"/>
        <v>1</v>
      </c>
      <c r="AI53" s="26">
        <f t="array" ref="AI53">SUMPRODUCT((Plantilla!$D$5:$D$18&lt;=A53)*(Plantilla!$C$5:$C$18="Comercial")*INDEX(Plantilla!$E$5:$I$18,0,B53))/12*(1+Supuestos!$B$17)</f>
        <v>13970.000000000002</v>
      </c>
      <c r="AJ53" s="26">
        <f t="array" ref="AJ53">SUMPRODUCT((Plantilla!$D$5:$D$18&lt;=A53)*(Plantilla!$C$5:$C$18="Customer Success")*INDEX(Plantilla!$E$5:$I$18,0,B53))/12*(1+Supuestos!$B$17)</f>
        <v>9900</v>
      </c>
    </row>
    <row r="54" spans="1:36" ht="15" customHeight="1" x14ac:dyDescent="0.35">
      <c r="A54" s="14">
        <v>53</v>
      </c>
      <c r="B54" s="14">
        <f t="shared" si="0"/>
        <v>5</v>
      </c>
      <c r="C54" s="18">
        <f t="array" ref="C54">IF(A54&lt;Supuestos!$B$13,0,INDEX(Supuestos!$B$27:$F$27,1,$B54)*Supuestos!$B$6)</f>
        <v>9</v>
      </c>
      <c r="D54" s="18">
        <f>IF(A54=Supuestos!$B$13,Supuestos!$B$14,0)</f>
        <v>0</v>
      </c>
      <c r="E54" s="18">
        <f>E53*(1-Supuestos!$B$7)+C54+D54</f>
        <v>197.4183698547684</v>
      </c>
      <c r="F54" s="18">
        <f t="array" ref="F54">INDEX(Supuestos!$B$28:$F$28,1,$B54)</f>
        <v>19</v>
      </c>
      <c r="G54" s="23">
        <f t="shared" si="1"/>
        <v>3750.9490272405997</v>
      </c>
      <c r="H54" s="25">
        <f t="array" ref="H54">(Supuestos!$B$11*(1-INDEX(Supuestos!$B$29:$F$29,1,$B54))+Supuestos!$B$12*INDEX(Supuestos!$B$29:$F$29,1,$B54))*(1-INDEX(Supuestos!$B$30:$F$30,1,$B54))*Supuestos!$B$8</f>
        <v>19.8</v>
      </c>
      <c r="I54" s="26">
        <f t="shared" si="2"/>
        <v>74268.790739363874</v>
      </c>
      <c r="J54" s="26">
        <f t="array" ref="J54">IF(A54&lt;Supuestos!$B$15,0,G54*INDEX(Supuestos!$B$31:$F$31,1,$B54)/12*INDEX(Supuestos!$B$32:$F$32,1,$B54))</f>
        <v>28132.117704304503</v>
      </c>
      <c r="K54" s="26">
        <f>J54*Supuestos!$B$16</f>
        <v>5626.4235408609011</v>
      </c>
      <c r="L54" s="26">
        <f t="shared" si="3"/>
        <v>79895.214280224769</v>
      </c>
      <c r="M54" s="26">
        <f t="array" ref="M54">SUMPRODUCT((Plantilla!$D$5:$D$18&lt;=A54)*INDEX(Plantilla!$E$5:$I$18,0,B54))/12</f>
        <v>34833.333333333336</v>
      </c>
      <c r="N54" s="26">
        <f>M54*Supuestos!$B$17</f>
        <v>11146.666666666668</v>
      </c>
      <c r="O54" s="26">
        <f t="shared" si="4"/>
        <v>45980</v>
      </c>
      <c r="P54" s="26">
        <f t="array" ref="P54">C54*INDEX(Supuestos!$B$33:$F$33,1,$B54)+INDEX(Supuestos!$B$34:$F$34,1,$B54)+L54*INDEX(Supuestos!$B$35:$F$35,1,$B54)+IF(AND(A54&gt;=4,A54&lt;=6),Supuestos!$B$20/3,0)</f>
        <v>5795.8085712089905</v>
      </c>
      <c r="Q54" s="26">
        <f t="array" ref="Q54">INDEX(Supuestos!$B$36:$F$36,1,$B54)</f>
        <v>2200</v>
      </c>
      <c r="R54" s="26">
        <f>G54*Supuestos!$B$18</f>
        <v>375.09490272405998</v>
      </c>
      <c r="S54" s="26">
        <f>L54*Supuestos!$B$19</f>
        <v>1198.4282142033715</v>
      </c>
      <c r="T54" s="26">
        <f t="array" ref="T54">INDEX(Supuestos!$B$37:$F$37,1,$B54)</f>
        <v>1720</v>
      </c>
      <c r="U54" s="26">
        <f>SUMIF(Supuestos!$B$41:$B$43,A54,Supuestos!$C$41:$C$43)</f>
        <v>0</v>
      </c>
      <c r="V54" s="26">
        <f t="shared" si="5"/>
        <v>57269.331688136415</v>
      </c>
      <c r="W54" s="26">
        <f t="shared" si="6"/>
        <v>22625.882592088354</v>
      </c>
      <c r="X54" s="26">
        <f>SUMIF(Supuestos!$B$45:$B$47,A54,Supuestos!$C$45:$C$47)</f>
        <v>0</v>
      </c>
      <c r="Y54" s="26">
        <f>SUMPRODUCT((Supuestos!$B$45:$B$47&lt;=A54)*(Supuestos!$B$45:$B$47+Supuestos!$B$21&gt;A54)*Supuestos!$C$45:$C$47)/Supuestos!$B$21</f>
        <v>166.66666666666666</v>
      </c>
      <c r="Z54" s="26">
        <f t="shared" si="7"/>
        <v>22459.215925421686</v>
      </c>
      <c r="AA54" s="26">
        <f>IF(A54&gt;=Supuestos!$B$52,(Supuestos!$B$51-SUM(AC$1:AC53))*Supuestos!$B$53/12,0)</f>
        <v>37.5</v>
      </c>
      <c r="AB54" s="26">
        <f t="shared" si="8"/>
        <v>22421.715925421686</v>
      </c>
      <c r="AC54" s="26">
        <f>IF(AND(A54&gt;Supuestos!$B$52+Supuestos!$B$54,A54&lt;=Supuestos!$B$52+Supuestos!$B$54+Supuestos!$B$55),Supuestos!$B$51/Supuestos!$B$55,0)</f>
        <v>1250</v>
      </c>
      <c r="AD54" s="26">
        <f>IF(A54=1,Supuestos!$B$50,0)+IF(A54=Supuestos!$B$52,Supuestos!$B$51,0)+IF(A54=Supuestos!$B$57,Supuestos!$B$56,0)</f>
        <v>0</v>
      </c>
      <c r="AE54" s="26">
        <f t="array" ref="AE54">IF(AND(MOD(A54,12)=0,B54&gt;=2),INDEX(Anual!$B$32:$F$32,1,B54-1),0)</f>
        <v>0</v>
      </c>
      <c r="AF54" s="26">
        <f t="shared" si="10"/>
        <v>237939.65503204617</v>
      </c>
      <c r="AG54" s="14">
        <f>COUNTIF(Plantilla!$D$5:$D$18,"&lt;="&amp;A54)</f>
        <v>13</v>
      </c>
      <c r="AH54" s="14">
        <f t="shared" si="9"/>
        <v>1</v>
      </c>
      <c r="AI54" s="26">
        <f t="array" ref="AI54">SUMPRODUCT((Plantilla!$D$5:$D$18&lt;=A54)*(Plantilla!$C$5:$C$18="Comercial")*INDEX(Plantilla!$E$5:$I$18,0,B54))/12*(1+Supuestos!$B$17)</f>
        <v>13970.000000000002</v>
      </c>
      <c r="AJ54" s="26">
        <f t="array" ref="AJ54">SUMPRODUCT((Plantilla!$D$5:$D$18&lt;=A54)*(Plantilla!$C$5:$C$18="Customer Success")*INDEX(Plantilla!$E$5:$I$18,0,B54))/12*(1+Supuestos!$B$17)</f>
        <v>9900</v>
      </c>
    </row>
    <row r="55" spans="1:36" ht="15" customHeight="1" x14ac:dyDescent="0.35">
      <c r="A55" s="14">
        <v>54</v>
      </c>
      <c r="B55" s="14">
        <f t="shared" si="0"/>
        <v>5</v>
      </c>
      <c r="C55" s="18">
        <f t="array" ref="C55">IF(A55&lt;Supuestos!$B$13,0,INDEX(Supuestos!$B$27:$F$27,1,$B55)*Supuestos!$B$6)</f>
        <v>9</v>
      </c>
      <c r="D55" s="18">
        <f>IF(A55=Supuestos!$B$13,Supuestos!$B$14,0)</f>
        <v>0</v>
      </c>
      <c r="E55" s="18">
        <f>E54*(1-Supuestos!$B$7)+C55+D55</f>
        <v>202.47000245767302</v>
      </c>
      <c r="F55" s="18">
        <f t="array" ref="F55">INDEX(Supuestos!$B$28:$F$28,1,$B55)</f>
        <v>19</v>
      </c>
      <c r="G55" s="23">
        <f t="shared" si="1"/>
        <v>3846.9300466957875</v>
      </c>
      <c r="H55" s="25">
        <f t="array" ref="H55">(Supuestos!$B$11*(1-INDEX(Supuestos!$B$29:$F$29,1,$B55))+Supuestos!$B$12*INDEX(Supuestos!$B$29:$F$29,1,$B55))*(1-INDEX(Supuestos!$B$30:$F$30,1,$B55))*Supuestos!$B$8</f>
        <v>19.8</v>
      </c>
      <c r="I55" s="26">
        <f t="shared" si="2"/>
        <v>76169.21492457659</v>
      </c>
      <c r="J55" s="26">
        <f t="array" ref="J55">IF(A55&lt;Supuestos!$B$15,0,G55*INDEX(Supuestos!$B$31:$F$31,1,$B55)/12*INDEX(Supuestos!$B$32:$F$32,1,$B55))</f>
        <v>28851.975350218403</v>
      </c>
      <c r="K55" s="26">
        <f>J55*Supuestos!$B$16</f>
        <v>5770.3950700436808</v>
      </c>
      <c r="L55" s="26">
        <f t="shared" si="3"/>
        <v>81939.609994620274</v>
      </c>
      <c r="M55" s="26">
        <f t="array" ref="M55">SUMPRODUCT((Plantilla!$D$5:$D$18&lt;=A55)*INDEX(Plantilla!$E$5:$I$18,0,B55))/12</f>
        <v>34833.333333333336</v>
      </c>
      <c r="N55" s="26">
        <f>M55*Supuestos!$B$17</f>
        <v>11146.666666666668</v>
      </c>
      <c r="O55" s="26">
        <f t="shared" si="4"/>
        <v>45980</v>
      </c>
      <c r="P55" s="26">
        <f t="array" ref="P55">C55*INDEX(Supuestos!$B$33:$F$33,1,$B55)+INDEX(Supuestos!$B$34:$F$34,1,$B55)+L55*INDEX(Supuestos!$B$35:$F$35,1,$B55)+IF(AND(A55&gt;=4,A55&lt;=6),Supuestos!$B$20/3,0)</f>
        <v>5877.5843997848115</v>
      </c>
      <c r="Q55" s="26">
        <f t="array" ref="Q55">INDEX(Supuestos!$B$36:$F$36,1,$B55)</f>
        <v>2200</v>
      </c>
      <c r="R55" s="26">
        <f>G55*Supuestos!$B$18</f>
        <v>384.69300466957878</v>
      </c>
      <c r="S55" s="26">
        <f>L55*Supuestos!$B$19</f>
        <v>1229.0941499193041</v>
      </c>
      <c r="T55" s="26">
        <f t="array" ref="T55">INDEX(Supuestos!$B$37:$F$37,1,$B55)</f>
        <v>1720</v>
      </c>
      <c r="U55" s="26">
        <f>SUMIF(Supuestos!$B$41:$B$43,A55,Supuestos!$C$41:$C$43)</f>
        <v>0</v>
      </c>
      <c r="V55" s="26">
        <f t="shared" si="5"/>
        <v>57391.371554373698</v>
      </c>
      <c r="W55" s="26">
        <f t="shared" si="6"/>
        <v>24548.238440246576</v>
      </c>
      <c r="X55" s="26">
        <f>SUMIF(Supuestos!$B$45:$B$47,A55,Supuestos!$C$45:$C$47)</f>
        <v>0</v>
      </c>
      <c r="Y55" s="26">
        <f>SUMPRODUCT((Supuestos!$B$45:$B$47&lt;=A55)*(Supuestos!$B$45:$B$47+Supuestos!$B$21&gt;A55)*Supuestos!$C$45:$C$47)/Supuestos!$B$21</f>
        <v>166.66666666666666</v>
      </c>
      <c r="Z55" s="26">
        <f t="shared" si="7"/>
        <v>24381.571773579908</v>
      </c>
      <c r="AA55" s="26">
        <f>IF(A55&gt;=Supuestos!$B$52,(Supuestos!$B$51-SUM(AC$1:AC54))*Supuestos!$B$53/12,0)</f>
        <v>33.333333333333336</v>
      </c>
      <c r="AB55" s="26">
        <f t="shared" si="8"/>
        <v>24348.238440246576</v>
      </c>
      <c r="AC55" s="26">
        <f>IF(AND(A55&gt;Supuestos!$B$52+Supuestos!$B$54,A55&lt;=Supuestos!$B$52+Supuestos!$B$54+Supuestos!$B$55),Supuestos!$B$51/Supuestos!$B$55,0)</f>
        <v>1250</v>
      </c>
      <c r="AD55" s="26">
        <f>IF(A55=1,Supuestos!$B$50,0)+IF(A55=Supuestos!$B$52,Supuestos!$B$51,0)+IF(A55=Supuestos!$B$57,Supuestos!$B$56,0)</f>
        <v>0</v>
      </c>
      <c r="AE55" s="26">
        <f t="array" ref="AE55">IF(AND(MOD(A55,12)=0,B55&gt;=2),INDEX(Anual!$B$32:$F$32,1,B55-1),0)</f>
        <v>0</v>
      </c>
      <c r="AF55" s="26">
        <f t="shared" si="10"/>
        <v>261204.56013895944</v>
      </c>
      <c r="AG55" s="14">
        <f>COUNTIF(Plantilla!$D$5:$D$18,"&lt;="&amp;A55)</f>
        <v>13</v>
      </c>
      <c r="AH55" s="14">
        <f t="shared" si="9"/>
        <v>1</v>
      </c>
      <c r="AI55" s="26">
        <f t="array" ref="AI55">SUMPRODUCT((Plantilla!$D$5:$D$18&lt;=A55)*(Plantilla!$C$5:$C$18="Comercial")*INDEX(Plantilla!$E$5:$I$18,0,B55))/12*(1+Supuestos!$B$17)</f>
        <v>13970.000000000002</v>
      </c>
      <c r="AJ55" s="26">
        <f t="array" ref="AJ55">SUMPRODUCT((Plantilla!$D$5:$D$18&lt;=A55)*(Plantilla!$C$5:$C$18="Customer Success")*INDEX(Plantilla!$E$5:$I$18,0,B55))/12*(1+Supuestos!$B$17)</f>
        <v>9900</v>
      </c>
    </row>
    <row r="56" spans="1:36" ht="15" customHeight="1" x14ac:dyDescent="0.35">
      <c r="A56" s="14">
        <v>55</v>
      </c>
      <c r="B56" s="14">
        <f t="shared" si="0"/>
        <v>5</v>
      </c>
      <c r="C56" s="18">
        <f t="array" ref="C56">IF(A56&lt;Supuestos!$B$13,0,INDEX(Supuestos!$B$27:$F$27,1,$B56)*Supuestos!$B$6)</f>
        <v>9</v>
      </c>
      <c r="D56" s="18">
        <f>IF(A56=Supuestos!$B$13,Supuestos!$B$14,0)</f>
        <v>0</v>
      </c>
      <c r="E56" s="18">
        <f>E55*(1-Supuestos!$B$7)+C56+D56</f>
        <v>207.42060240851956</v>
      </c>
      <c r="F56" s="18">
        <f t="array" ref="F56">INDEX(Supuestos!$B$28:$F$28,1,$B56)</f>
        <v>19</v>
      </c>
      <c r="G56" s="23">
        <f t="shared" si="1"/>
        <v>3940.9914457618715</v>
      </c>
      <c r="H56" s="25">
        <f t="array" ref="H56">(Supuestos!$B$11*(1-INDEX(Supuestos!$B$29:$F$29,1,$B56))+Supuestos!$B$12*INDEX(Supuestos!$B$29:$F$29,1,$B56))*(1-INDEX(Supuestos!$B$30:$F$30,1,$B56))*Supuestos!$B$8</f>
        <v>19.8</v>
      </c>
      <c r="I56" s="26">
        <f t="shared" si="2"/>
        <v>78031.630626085054</v>
      </c>
      <c r="J56" s="26">
        <f t="array" ref="J56">IF(A56&lt;Supuestos!$B$15,0,G56*INDEX(Supuestos!$B$31:$F$31,1,$B56)/12*INDEX(Supuestos!$B$32:$F$32,1,$B56))</f>
        <v>29557.435843214036</v>
      </c>
      <c r="K56" s="26">
        <f>J56*Supuestos!$B$16</f>
        <v>5911.4871686428078</v>
      </c>
      <c r="L56" s="26">
        <f t="shared" si="3"/>
        <v>83943.117794727863</v>
      </c>
      <c r="M56" s="26">
        <f t="array" ref="M56">SUMPRODUCT((Plantilla!$D$5:$D$18&lt;=A56)*INDEX(Plantilla!$E$5:$I$18,0,B56))/12</f>
        <v>37750</v>
      </c>
      <c r="N56" s="26">
        <f>M56*Supuestos!$B$17</f>
        <v>12080</v>
      </c>
      <c r="O56" s="26">
        <f t="shared" si="4"/>
        <v>49830</v>
      </c>
      <c r="P56" s="26">
        <f t="array" ref="P56">C56*INDEX(Supuestos!$B$33:$F$33,1,$B56)+INDEX(Supuestos!$B$34:$F$34,1,$B56)+L56*INDEX(Supuestos!$B$35:$F$35,1,$B56)+IF(AND(A56&gt;=4,A56&lt;=6),Supuestos!$B$20/3,0)</f>
        <v>5957.7247117891147</v>
      </c>
      <c r="Q56" s="26">
        <f t="array" ref="Q56">INDEX(Supuestos!$B$36:$F$36,1,$B56)</f>
        <v>2200</v>
      </c>
      <c r="R56" s="26">
        <f>G56*Supuestos!$B$18</f>
        <v>394.0991445761872</v>
      </c>
      <c r="S56" s="26">
        <f>L56*Supuestos!$B$19</f>
        <v>1259.1467669209178</v>
      </c>
      <c r="T56" s="26">
        <f t="array" ref="T56">INDEX(Supuestos!$B$37:$F$37,1,$B56)</f>
        <v>1720</v>
      </c>
      <c r="U56" s="26">
        <f>SUMIF(Supuestos!$B$41:$B$43,A56,Supuestos!$C$41:$C$43)</f>
        <v>0</v>
      </c>
      <c r="V56" s="26">
        <f t="shared" si="5"/>
        <v>61360.970623286223</v>
      </c>
      <c r="W56" s="26">
        <f t="shared" si="6"/>
        <v>22582.14717144164</v>
      </c>
      <c r="X56" s="26">
        <f>SUMIF(Supuestos!$B$45:$B$47,A56,Supuestos!$C$45:$C$47)</f>
        <v>0</v>
      </c>
      <c r="Y56" s="26">
        <f>SUMPRODUCT((Supuestos!$B$45:$B$47&lt;=A56)*(Supuestos!$B$45:$B$47+Supuestos!$B$21&gt;A56)*Supuestos!$C$45:$C$47)/Supuestos!$B$21</f>
        <v>166.66666666666666</v>
      </c>
      <c r="Z56" s="26">
        <f t="shared" si="7"/>
        <v>22415.480504774972</v>
      </c>
      <c r="AA56" s="26">
        <f>IF(A56&gt;=Supuestos!$B$52,(Supuestos!$B$51-SUM(AC$1:AC55))*Supuestos!$B$53/12,0)</f>
        <v>29.166666666666668</v>
      </c>
      <c r="AB56" s="26">
        <f t="shared" si="8"/>
        <v>22386.313838108304</v>
      </c>
      <c r="AC56" s="26">
        <f>IF(AND(A56&gt;Supuestos!$B$52+Supuestos!$B$54,A56&lt;=Supuestos!$B$52+Supuestos!$B$54+Supuestos!$B$55),Supuestos!$B$51/Supuestos!$B$55,0)</f>
        <v>1250</v>
      </c>
      <c r="AD56" s="26">
        <f>IF(A56=1,Supuestos!$B$50,0)+IF(A56=Supuestos!$B$52,Supuestos!$B$51,0)+IF(A56=Supuestos!$B$57,Supuestos!$B$56,0)</f>
        <v>0</v>
      </c>
      <c r="AE56" s="26">
        <f t="array" ref="AE56">IF(AND(MOD(A56,12)=0,B56&gt;=2),INDEX(Anual!$B$32:$F$32,1,B56-1),0)</f>
        <v>0</v>
      </c>
      <c r="AF56" s="26">
        <f t="shared" si="10"/>
        <v>282507.54064373439</v>
      </c>
      <c r="AG56" s="14">
        <f>COUNTIF(Plantilla!$D$5:$D$18,"&lt;="&amp;A56)</f>
        <v>14</v>
      </c>
      <c r="AH56" s="14">
        <f t="shared" si="9"/>
        <v>1</v>
      </c>
      <c r="AI56" s="26">
        <f t="array" ref="AI56">SUMPRODUCT((Plantilla!$D$5:$D$18&lt;=A56)*(Plantilla!$C$5:$C$18="Comercial")*INDEX(Plantilla!$E$5:$I$18,0,B56))/12*(1+Supuestos!$B$17)</f>
        <v>13970.000000000002</v>
      </c>
      <c r="AJ56" s="26">
        <f t="array" ref="AJ56">SUMPRODUCT((Plantilla!$D$5:$D$18&lt;=A56)*(Plantilla!$C$5:$C$18="Customer Success")*INDEX(Plantilla!$E$5:$I$18,0,B56))/12*(1+Supuestos!$B$17)</f>
        <v>9900</v>
      </c>
    </row>
    <row r="57" spans="1:36" ht="15" customHeight="1" x14ac:dyDescent="0.35">
      <c r="A57" s="14">
        <v>56</v>
      </c>
      <c r="B57" s="14">
        <f t="shared" si="0"/>
        <v>5</v>
      </c>
      <c r="C57" s="18">
        <f t="array" ref="C57">IF(A57&lt;Supuestos!$B$13,0,INDEX(Supuestos!$B$27:$F$27,1,$B57)*Supuestos!$B$6)</f>
        <v>9</v>
      </c>
      <c r="D57" s="18">
        <f>IF(A57=Supuestos!$B$13,Supuestos!$B$14,0)</f>
        <v>0</v>
      </c>
      <c r="E57" s="18">
        <f>E56*(1-Supuestos!$B$7)+C57+D57</f>
        <v>212.27219036034916</v>
      </c>
      <c r="F57" s="18">
        <f t="array" ref="F57">INDEX(Supuestos!$B$28:$F$28,1,$B57)</f>
        <v>19</v>
      </c>
      <c r="G57" s="23">
        <f t="shared" si="1"/>
        <v>4033.1716168466342</v>
      </c>
      <c r="H57" s="25">
        <f t="array" ref="H57">(Supuestos!$B$11*(1-INDEX(Supuestos!$B$29:$F$29,1,$B57))+Supuestos!$B$12*INDEX(Supuestos!$B$29:$F$29,1,$B57))*(1-INDEX(Supuestos!$B$30:$F$30,1,$B57))*Supuestos!$B$8</f>
        <v>19.8</v>
      </c>
      <c r="I57" s="26">
        <f t="shared" si="2"/>
        <v>79856.798013563355</v>
      </c>
      <c r="J57" s="26">
        <f t="array" ref="J57">IF(A57&lt;Supuestos!$B$15,0,G57*INDEX(Supuestos!$B$31:$F$31,1,$B57)/12*INDEX(Supuestos!$B$32:$F$32,1,$B57))</f>
        <v>30248.787126349751</v>
      </c>
      <c r="K57" s="26">
        <f>J57*Supuestos!$B$16</f>
        <v>6049.7574252699505</v>
      </c>
      <c r="L57" s="26">
        <f t="shared" si="3"/>
        <v>85906.555438833311</v>
      </c>
      <c r="M57" s="26">
        <f t="array" ref="M57">SUMPRODUCT((Plantilla!$D$5:$D$18&lt;=A57)*INDEX(Plantilla!$E$5:$I$18,0,B57))/12</f>
        <v>37750</v>
      </c>
      <c r="N57" s="26">
        <f>M57*Supuestos!$B$17</f>
        <v>12080</v>
      </c>
      <c r="O57" s="26">
        <f t="shared" si="4"/>
        <v>49830</v>
      </c>
      <c r="P57" s="26">
        <f t="array" ref="P57">C57*INDEX(Supuestos!$B$33:$F$33,1,$B57)+INDEX(Supuestos!$B$34:$F$34,1,$B57)+L57*INDEX(Supuestos!$B$35:$F$35,1,$B57)+IF(AND(A57&gt;=4,A57&lt;=6),Supuestos!$B$20/3,0)</f>
        <v>6036.2622175533324</v>
      </c>
      <c r="Q57" s="26">
        <f t="array" ref="Q57">INDEX(Supuestos!$B$36:$F$36,1,$B57)</f>
        <v>2200</v>
      </c>
      <c r="R57" s="26">
        <f>G57*Supuestos!$B$18</f>
        <v>403.31716168466346</v>
      </c>
      <c r="S57" s="26">
        <f>L57*Supuestos!$B$19</f>
        <v>1288.5983315824997</v>
      </c>
      <c r="T57" s="26">
        <f t="array" ref="T57">INDEX(Supuestos!$B$37:$F$37,1,$B57)</f>
        <v>1720</v>
      </c>
      <c r="U57" s="26">
        <f>SUMIF(Supuestos!$B$41:$B$43,A57,Supuestos!$C$41:$C$43)</f>
        <v>0</v>
      </c>
      <c r="V57" s="26">
        <f t="shared" si="5"/>
        <v>61478.177710820499</v>
      </c>
      <c r="W57" s="26">
        <f t="shared" si="6"/>
        <v>24428.377728012812</v>
      </c>
      <c r="X57" s="26">
        <f>SUMIF(Supuestos!$B$45:$B$47,A57,Supuestos!$C$45:$C$47)</f>
        <v>0</v>
      </c>
      <c r="Y57" s="26">
        <f>SUMPRODUCT((Supuestos!$B$45:$B$47&lt;=A57)*(Supuestos!$B$45:$B$47+Supuestos!$B$21&gt;A57)*Supuestos!$C$45:$C$47)/Supuestos!$B$21</f>
        <v>166.66666666666666</v>
      </c>
      <c r="Z57" s="26">
        <f t="shared" si="7"/>
        <v>24261.711061346145</v>
      </c>
      <c r="AA57" s="26">
        <f>IF(A57&gt;=Supuestos!$B$52,(Supuestos!$B$51-SUM(AC$1:AC56))*Supuestos!$B$53/12,0)</f>
        <v>25</v>
      </c>
      <c r="AB57" s="26">
        <f t="shared" si="8"/>
        <v>24236.711061346145</v>
      </c>
      <c r="AC57" s="26">
        <f>IF(AND(A57&gt;Supuestos!$B$52+Supuestos!$B$54,A57&lt;=Supuestos!$B$52+Supuestos!$B$54+Supuestos!$B$55),Supuestos!$B$51/Supuestos!$B$55,0)</f>
        <v>1250</v>
      </c>
      <c r="AD57" s="26">
        <f>IF(A57=1,Supuestos!$B$50,0)+IF(A57=Supuestos!$B$52,Supuestos!$B$51,0)+IF(A57=Supuestos!$B$57,Supuestos!$B$56,0)</f>
        <v>0</v>
      </c>
      <c r="AE57" s="26">
        <f t="array" ref="AE57">IF(AND(MOD(A57,12)=0,B57&gt;=2),INDEX(Anual!$B$32:$F$32,1,B57-1),0)</f>
        <v>0</v>
      </c>
      <c r="AF57" s="26">
        <f t="shared" si="10"/>
        <v>305660.91837174719</v>
      </c>
      <c r="AG57" s="14">
        <f>COUNTIF(Plantilla!$D$5:$D$18,"&lt;="&amp;A57)</f>
        <v>14</v>
      </c>
      <c r="AH57" s="14">
        <f t="shared" si="9"/>
        <v>1</v>
      </c>
      <c r="AI57" s="26">
        <f t="array" ref="AI57">SUMPRODUCT((Plantilla!$D$5:$D$18&lt;=A57)*(Plantilla!$C$5:$C$18="Comercial")*INDEX(Plantilla!$E$5:$I$18,0,B57))/12*(1+Supuestos!$B$17)</f>
        <v>13970.000000000002</v>
      </c>
      <c r="AJ57" s="26">
        <f t="array" ref="AJ57">SUMPRODUCT((Plantilla!$D$5:$D$18&lt;=A57)*(Plantilla!$C$5:$C$18="Customer Success")*INDEX(Plantilla!$E$5:$I$18,0,B57))/12*(1+Supuestos!$B$17)</f>
        <v>9900</v>
      </c>
    </row>
    <row r="58" spans="1:36" ht="15" customHeight="1" x14ac:dyDescent="0.35">
      <c r="A58" s="14">
        <v>57</v>
      </c>
      <c r="B58" s="14">
        <f t="shared" si="0"/>
        <v>5</v>
      </c>
      <c r="C58" s="18">
        <f t="array" ref="C58">IF(A58&lt;Supuestos!$B$13,0,INDEX(Supuestos!$B$27:$F$27,1,$B58)*Supuestos!$B$6)</f>
        <v>9</v>
      </c>
      <c r="D58" s="18">
        <f>IF(A58=Supuestos!$B$13,Supuestos!$B$14,0)</f>
        <v>0</v>
      </c>
      <c r="E58" s="18">
        <f>E57*(1-Supuestos!$B$7)+C58+D58</f>
        <v>217.02674655314217</v>
      </c>
      <c r="F58" s="18">
        <f t="array" ref="F58">INDEX(Supuestos!$B$28:$F$28,1,$B58)</f>
        <v>19</v>
      </c>
      <c r="G58" s="23">
        <f t="shared" si="1"/>
        <v>4123.5081845097011</v>
      </c>
      <c r="H58" s="25">
        <f t="array" ref="H58">(Supuestos!$B$11*(1-INDEX(Supuestos!$B$29:$F$29,1,$B58))+Supuestos!$B$12*INDEX(Supuestos!$B$29:$F$29,1,$B58))*(1-INDEX(Supuestos!$B$30:$F$30,1,$B58))*Supuestos!$B$8</f>
        <v>19.8</v>
      </c>
      <c r="I58" s="26">
        <f t="shared" si="2"/>
        <v>81645.462053292082</v>
      </c>
      <c r="J58" s="26">
        <f t="array" ref="J58">IF(A58&lt;Supuestos!$B$15,0,G58*INDEX(Supuestos!$B$31:$F$31,1,$B58)/12*INDEX(Supuestos!$B$32:$F$32,1,$B58))</f>
        <v>30926.311383822758</v>
      </c>
      <c r="K58" s="26">
        <f>J58*Supuestos!$B$16</f>
        <v>6185.2622767645516</v>
      </c>
      <c r="L58" s="26">
        <f t="shared" si="3"/>
        <v>87830.724330056633</v>
      </c>
      <c r="M58" s="26">
        <f t="array" ref="M58">SUMPRODUCT((Plantilla!$D$5:$D$18&lt;=A58)*INDEX(Plantilla!$E$5:$I$18,0,B58))/12</f>
        <v>37750</v>
      </c>
      <c r="N58" s="26">
        <f>M58*Supuestos!$B$17</f>
        <v>12080</v>
      </c>
      <c r="O58" s="26">
        <f t="shared" si="4"/>
        <v>49830</v>
      </c>
      <c r="P58" s="26">
        <f t="array" ref="P58">C58*INDEX(Supuestos!$B$33:$F$33,1,$B58)+INDEX(Supuestos!$B$34:$F$34,1,$B58)+L58*INDEX(Supuestos!$B$35:$F$35,1,$B58)+IF(AND(A58&gt;=4,A58&lt;=6),Supuestos!$B$20/3,0)</f>
        <v>6113.2289732022655</v>
      </c>
      <c r="Q58" s="26">
        <f t="array" ref="Q58">INDEX(Supuestos!$B$36:$F$36,1,$B58)</f>
        <v>2200</v>
      </c>
      <c r="R58" s="26">
        <f>G58*Supuestos!$B$18</f>
        <v>412.35081845097011</v>
      </c>
      <c r="S58" s="26">
        <f>L58*Supuestos!$B$19</f>
        <v>1317.4608649508496</v>
      </c>
      <c r="T58" s="26">
        <f t="array" ref="T58">INDEX(Supuestos!$B$37:$F$37,1,$B58)</f>
        <v>1720</v>
      </c>
      <c r="U58" s="26">
        <f>SUMIF(Supuestos!$B$41:$B$43,A58,Supuestos!$C$41:$C$43)</f>
        <v>0</v>
      </c>
      <c r="V58" s="26">
        <f t="shared" si="5"/>
        <v>61593.040656604084</v>
      </c>
      <c r="W58" s="26">
        <f t="shared" si="6"/>
        <v>26237.68367345255</v>
      </c>
      <c r="X58" s="26">
        <f>SUMIF(Supuestos!$B$45:$B$47,A58,Supuestos!$C$45:$C$47)</f>
        <v>0</v>
      </c>
      <c r="Y58" s="26">
        <f>SUMPRODUCT((Supuestos!$B$45:$B$47&lt;=A58)*(Supuestos!$B$45:$B$47+Supuestos!$B$21&gt;A58)*Supuestos!$C$45:$C$47)/Supuestos!$B$21</f>
        <v>166.66666666666666</v>
      </c>
      <c r="Z58" s="26">
        <f t="shared" si="7"/>
        <v>26071.017006785882</v>
      </c>
      <c r="AA58" s="26">
        <f>IF(A58&gt;=Supuestos!$B$52,(Supuestos!$B$51-SUM(AC$1:AC57))*Supuestos!$B$53/12,0)</f>
        <v>20.833333333333332</v>
      </c>
      <c r="AB58" s="26">
        <f t="shared" si="8"/>
        <v>26050.18367345255</v>
      </c>
      <c r="AC58" s="26">
        <f>IF(AND(A58&gt;Supuestos!$B$52+Supuestos!$B$54,A58&lt;=Supuestos!$B$52+Supuestos!$B$54+Supuestos!$B$55),Supuestos!$B$51/Supuestos!$B$55,0)</f>
        <v>1250</v>
      </c>
      <c r="AD58" s="26">
        <f>IF(A58=1,Supuestos!$B$50,0)+IF(A58=Supuestos!$B$52,Supuestos!$B$51,0)+IF(A58=Supuestos!$B$57,Supuestos!$B$56,0)</f>
        <v>0</v>
      </c>
      <c r="AE58" s="26">
        <f t="array" ref="AE58">IF(AND(MOD(A58,12)=0,B58&gt;=2),INDEX(Anual!$B$32:$F$32,1,B58-1),0)</f>
        <v>0</v>
      </c>
      <c r="AF58" s="26">
        <f t="shared" si="10"/>
        <v>330627.7687118664</v>
      </c>
      <c r="AG58" s="14">
        <f>COUNTIF(Plantilla!$D$5:$D$18,"&lt;="&amp;A58)</f>
        <v>14</v>
      </c>
      <c r="AH58" s="14">
        <f t="shared" si="9"/>
        <v>1</v>
      </c>
      <c r="AI58" s="26">
        <f t="array" ref="AI58">SUMPRODUCT((Plantilla!$D$5:$D$18&lt;=A58)*(Plantilla!$C$5:$C$18="Comercial")*INDEX(Plantilla!$E$5:$I$18,0,B58))/12*(1+Supuestos!$B$17)</f>
        <v>13970.000000000002</v>
      </c>
      <c r="AJ58" s="26">
        <f t="array" ref="AJ58">SUMPRODUCT((Plantilla!$D$5:$D$18&lt;=A58)*(Plantilla!$C$5:$C$18="Customer Success")*INDEX(Plantilla!$E$5:$I$18,0,B58))/12*(1+Supuestos!$B$17)</f>
        <v>9900</v>
      </c>
    </row>
    <row r="59" spans="1:36" ht="15" customHeight="1" x14ac:dyDescent="0.35">
      <c r="A59" s="14">
        <v>58</v>
      </c>
      <c r="B59" s="14">
        <f t="shared" si="0"/>
        <v>5</v>
      </c>
      <c r="C59" s="18">
        <f t="array" ref="C59">IF(A59&lt;Supuestos!$B$13,0,INDEX(Supuestos!$B$27:$F$27,1,$B59)*Supuestos!$B$6)</f>
        <v>9</v>
      </c>
      <c r="D59" s="18">
        <f>IF(A59=Supuestos!$B$13,Supuestos!$B$14,0)</f>
        <v>0</v>
      </c>
      <c r="E59" s="18">
        <f>E58*(1-Supuestos!$B$7)+C59+D59</f>
        <v>221.68621162207933</v>
      </c>
      <c r="F59" s="18">
        <f t="array" ref="F59">INDEX(Supuestos!$B$28:$F$28,1,$B59)</f>
        <v>19</v>
      </c>
      <c r="G59" s="23">
        <f t="shared" si="1"/>
        <v>4212.0380208195074</v>
      </c>
      <c r="H59" s="25">
        <f t="array" ref="H59">(Supuestos!$B$11*(1-INDEX(Supuestos!$B$29:$F$29,1,$B59))+Supuestos!$B$12*INDEX(Supuestos!$B$29:$F$29,1,$B59))*(1-INDEX(Supuestos!$B$30:$F$30,1,$B59))*Supuestos!$B$8</f>
        <v>19.8</v>
      </c>
      <c r="I59" s="26">
        <f t="shared" si="2"/>
        <v>83398.352812226251</v>
      </c>
      <c r="J59" s="26">
        <f t="array" ref="J59">IF(A59&lt;Supuestos!$B$15,0,G59*INDEX(Supuestos!$B$31:$F$31,1,$B59)/12*INDEX(Supuestos!$B$32:$F$32,1,$B59))</f>
        <v>31590.28515614631</v>
      </c>
      <c r="K59" s="26">
        <f>J59*Supuestos!$B$16</f>
        <v>6318.0570312292621</v>
      </c>
      <c r="L59" s="26">
        <f t="shared" si="3"/>
        <v>89716.409843455505</v>
      </c>
      <c r="M59" s="26">
        <f t="array" ref="M59">SUMPRODUCT((Plantilla!$D$5:$D$18&lt;=A59)*INDEX(Plantilla!$E$5:$I$18,0,B59))/12</f>
        <v>37750</v>
      </c>
      <c r="N59" s="26">
        <f>M59*Supuestos!$B$17</f>
        <v>12080</v>
      </c>
      <c r="O59" s="26">
        <f t="shared" si="4"/>
        <v>49830</v>
      </c>
      <c r="P59" s="26">
        <f t="array" ref="P59">C59*INDEX(Supuestos!$B$33:$F$33,1,$B59)+INDEX(Supuestos!$B$34:$F$34,1,$B59)+L59*INDEX(Supuestos!$B$35:$F$35,1,$B59)+IF(AND(A59&gt;=4,A59&lt;=6),Supuestos!$B$20/3,0)</f>
        <v>6188.6563937382198</v>
      </c>
      <c r="Q59" s="26">
        <f t="array" ref="Q59">INDEX(Supuestos!$B$36:$F$36,1,$B59)</f>
        <v>2200</v>
      </c>
      <c r="R59" s="26">
        <f>G59*Supuestos!$B$18</f>
        <v>421.20380208195076</v>
      </c>
      <c r="S59" s="26">
        <f>L59*Supuestos!$B$19</f>
        <v>1345.7461476518326</v>
      </c>
      <c r="T59" s="26">
        <f t="array" ref="T59">INDEX(Supuestos!$B$37:$F$37,1,$B59)</f>
        <v>1720</v>
      </c>
      <c r="U59" s="26">
        <f>SUMIF(Supuestos!$B$41:$B$43,A59,Supuestos!$C$41:$C$43)</f>
        <v>0</v>
      </c>
      <c r="V59" s="26">
        <f t="shared" si="5"/>
        <v>61705.606343471998</v>
      </c>
      <c r="W59" s="26">
        <f t="shared" si="6"/>
        <v>28010.803499983507</v>
      </c>
      <c r="X59" s="26">
        <f>SUMIF(Supuestos!$B$45:$B$47,A59,Supuestos!$C$45:$C$47)</f>
        <v>0</v>
      </c>
      <c r="Y59" s="26">
        <f>SUMPRODUCT((Supuestos!$B$45:$B$47&lt;=A59)*(Supuestos!$B$45:$B$47+Supuestos!$B$21&gt;A59)*Supuestos!$C$45:$C$47)/Supuestos!$B$21</f>
        <v>166.66666666666666</v>
      </c>
      <c r="Z59" s="26">
        <f t="shared" si="7"/>
        <v>27844.136833316839</v>
      </c>
      <c r="AA59" s="26">
        <f>IF(A59&gt;=Supuestos!$B$52,(Supuestos!$B$51-SUM(AC$1:AC58))*Supuestos!$B$53/12,0)</f>
        <v>16.666666666666668</v>
      </c>
      <c r="AB59" s="26">
        <f t="shared" si="8"/>
        <v>27827.470166650171</v>
      </c>
      <c r="AC59" s="26">
        <f>IF(AND(A59&gt;Supuestos!$B$52+Supuestos!$B$54,A59&lt;=Supuestos!$B$52+Supuestos!$B$54+Supuestos!$B$55),Supuestos!$B$51/Supuestos!$B$55,0)</f>
        <v>1250</v>
      </c>
      <c r="AD59" s="26">
        <f>IF(A59=1,Supuestos!$B$50,0)+IF(A59=Supuestos!$B$52,Supuestos!$B$51,0)+IF(A59=Supuestos!$B$57,Supuestos!$B$56,0)</f>
        <v>0</v>
      </c>
      <c r="AE59" s="26">
        <f t="array" ref="AE59">IF(AND(MOD(A59,12)=0,B59&gt;=2),INDEX(Anual!$B$32:$F$32,1,B59-1),0)</f>
        <v>0</v>
      </c>
      <c r="AF59" s="26">
        <f t="shared" si="10"/>
        <v>357371.90554518317</v>
      </c>
      <c r="AG59" s="14">
        <f>COUNTIF(Plantilla!$D$5:$D$18,"&lt;="&amp;A59)</f>
        <v>14</v>
      </c>
      <c r="AH59" s="14">
        <f t="shared" si="9"/>
        <v>1</v>
      </c>
      <c r="AI59" s="26">
        <f t="array" ref="AI59">SUMPRODUCT((Plantilla!$D$5:$D$18&lt;=A59)*(Plantilla!$C$5:$C$18="Comercial")*INDEX(Plantilla!$E$5:$I$18,0,B59))/12*(1+Supuestos!$B$17)</f>
        <v>13970.000000000002</v>
      </c>
      <c r="AJ59" s="26">
        <f t="array" ref="AJ59">SUMPRODUCT((Plantilla!$D$5:$D$18&lt;=A59)*(Plantilla!$C$5:$C$18="Customer Success")*INDEX(Plantilla!$E$5:$I$18,0,B59))/12*(1+Supuestos!$B$17)</f>
        <v>9900</v>
      </c>
    </row>
    <row r="60" spans="1:36" ht="15" customHeight="1" x14ac:dyDescent="0.35">
      <c r="A60" s="14">
        <v>59</v>
      </c>
      <c r="B60" s="14">
        <f t="shared" si="0"/>
        <v>5</v>
      </c>
      <c r="C60" s="18">
        <f t="array" ref="C60">IF(A60&lt;Supuestos!$B$13,0,INDEX(Supuestos!$B$27:$F$27,1,$B60)*Supuestos!$B$6)</f>
        <v>9</v>
      </c>
      <c r="D60" s="18">
        <f>IF(A60=Supuestos!$B$13,Supuestos!$B$14,0)</f>
        <v>0</v>
      </c>
      <c r="E60" s="18">
        <f>E59*(1-Supuestos!$B$7)+C60+D60</f>
        <v>226.25248738963774</v>
      </c>
      <c r="F60" s="18">
        <f t="array" ref="F60">INDEX(Supuestos!$B$28:$F$28,1,$B60)</f>
        <v>19</v>
      </c>
      <c r="G60" s="23">
        <f t="shared" si="1"/>
        <v>4298.7972604031165</v>
      </c>
      <c r="H60" s="25">
        <f t="array" ref="H60">(Supuestos!$B$11*(1-INDEX(Supuestos!$B$29:$F$29,1,$B60))+Supuestos!$B$12*INDEX(Supuestos!$B$29:$F$29,1,$B60))*(1-INDEX(Supuestos!$B$30:$F$30,1,$B60))*Supuestos!$B$8</f>
        <v>19.8</v>
      </c>
      <c r="I60" s="26">
        <f t="shared" si="2"/>
        <v>85116.185755981714</v>
      </c>
      <c r="J60" s="26">
        <f t="array" ref="J60">IF(A60&lt;Supuestos!$B$15,0,G60*INDEX(Supuestos!$B$31:$F$31,1,$B60)/12*INDEX(Supuestos!$B$32:$F$32,1,$B60))</f>
        <v>32240.979453023374</v>
      </c>
      <c r="K60" s="26">
        <f>J60*Supuestos!$B$16</f>
        <v>6448.1958906046748</v>
      </c>
      <c r="L60" s="26">
        <f t="shared" si="3"/>
        <v>91564.381646586393</v>
      </c>
      <c r="M60" s="26">
        <f t="array" ref="M60">SUMPRODUCT((Plantilla!$D$5:$D$18&lt;=A60)*INDEX(Plantilla!$E$5:$I$18,0,B60))/12</f>
        <v>37750</v>
      </c>
      <c r="N60" s="26">
        <f>M60*Supuestos!$B$17</f>
        <v>12080</v>
      </c>
      <c r="O60" s="26">
        <f t="shared" si="4"/>
        <v>49830</v>
      </c>
      <c r="P60" s="26">
        <f t="array" ref="P60">C60*INDEX(Supuestos!$B$33:$F$33,1,$B60)+INDEX(Supuestos!$B$34:$F$34,1,$B60)+L60*INDEX(Supuestos!$B$35:$F$35,1,$B60)+IF(AND(A60&gt;=4,A60&lt;=6),Supuestos!$B$20/3,0)</f>
        <v>6262.5752658634556</v>
      </c>
      <c r="Q60" s="26">
        <f t="array" ref="Q60">INDEX(Supuestos!$B$36:$F$36,1,$B60)</f>
        <v>2200</v>
      </c>
      <c r="R60" s="26">
        <f>G60*Supuestos!$B$18</f>
        <v>429.87972604031165</v>
      </c>
      <c r="S60" s="26">
        <f>L60*Supuestos!$B$19</f>
        <v>1373.4657246987958</v>
      </c>
      <c r="T60" s="26">
        <f t="array" ref="T60">INDEX(Supuestos!$B$37:$F$37,1,$B60)</f>
        <v>1720</v>
      </c>
      <c r="U60" s="26">
        <f>SUMIF(Supuestos!$B$41:$B$43,A60,Supuestos!$C$41:$C$43)</f>
        <v>0</v>
      </c>
      <c r="V60" s="26">
        <f t="shared" si="5"/>
        <v>61815.920716602566</v>
      </c>
      <c r="W60" s="26">
        <f t="shared" si="6"/>
        <v>29748.460929983827</v>
      </c>
      <c r="X60" s="26">
        <f>SUMIF(Supuestos!$B$45:$B$47,A60,Supuestos!$C$45:$C$47)</f>
        <v>0</v>
      </c>
      <c r="Y60" s="26">
        <f>SUMPRODUCT((Supuestos!$B$45:$B$47&lt;=A60)*(Supuestos!$B$45:$B$47+Supuestos!$B$21&gt;A60)*Supuestos!$C$45:$C$47)/Supuestos!$B$21</f>
        <v>166.66666666666666</v>
      </c>
      <c r="Z60" s="26">
        <f t="shared" si="7"/>
        <v>29581.794263317159</v>
      </c>
      <c r="AA60" s="26">
        <f>IF(A60&gt;=Supuestos!$B$52,(Supuestos!$B$51-SUM(AC$1:AC59))*Supuestos!$B$53/12,0)</f>
        <v>12.5</v>
      </c>
      <c r="AB60" s="26">
        <f t="shared" si="8"/>
        <v>29569.294263317159</v>
      </c>
      <c r="AC60" s="26">
        <f>IF(AND(A60&gt;Supuestos!$B$52+Supuestos!$B$54,A60&lt;=Supuestos!$B$52+Supuestos!$B$54+Supuestos!$B$55),Supuestos!$B$51/Supuestos!$B$55,0)</f>
        <v>1250</v>
      </c>
      <c r="AD60" s="26">
        <f>IF(A60=1,Supuestos!$B$50,0)+IF(A60=Supuestos!$B$52,Supuestos!$B$51,0)+IF(A60=Supuestos!$B$57,Supuestos!$B$56,0)</f>
        <v>0</v>
      </c>
      <c r="AE60" s="26">
        <f t="array" ref="AE60">IF(AND(MOD(A60,12)=0,B60&gt;=2),INDEX(Anual!$B$32:$F$32,1,B60-1),0)</f>
        <v>0</v>
      </c>
      <c r="AF60" s="26">
        <f t="shared" si="10"/>
        <v>385857.86647516699</v>
      </c>
      <c r="AG60" s="14">
        <f>COUNTIF(Plantilla!$D$5:$D$18,"&lt;="&amp;A60)</f>
        <v>14</v>
      </c>
      <c r="AH60" s="14">
        <f t="shared" si="9"/>
        <v>1</v>
      </c>
      <c r="AI60" s="26">
        <f t="array" ref="AI60">SUMPRODUCT((Plantilla!$D$5:$D$18&lt;=A60)*(Plantilla!$C$5:$C$18="Comercial")*INDEX(Plantilla!$E$5:$I$18,0,B60))/12*(1+Supuestos!$B$17)</f>
        <v>13970.000000000002</v>
      </c>
      <c r="AJ60" s="26">
        <f t="array" ref="AJ60">SUMPRODUCT((Plantilla!$D$5:$D$18&lt;=A60)*(Plantilla!$C$5:$C$18="Customer Success")*INDEX(Plantilla!$E$5:$I$18,0,B60))/12*(1+Supuestos!$B$17)</f>
        <v>9900</v>
      </c>
    </row>
    <row r="61" spans="1:36" ht="15" customHeight="1" x14ac:dyDescent="0.35">
      <c r="A61" s="14">
        <v>60</v>
      </c>
      <c r="B61" s="14">
        <f t="shared" si="0"/>
        <v>5</v>
      </c>
      <c r="C61" s="18">
        <f t="array" ref="C61">IF(A61&lt;Supuestos!$B$13,0,INDEX(Supuestos!$B$27:$F$27,1,$B61)*Supuestos!$B$6)</f>
        <v>9</v>
      </c>
      <c r="D61" s="18">
        <f>IF(A61=Supuestos!$B$13,Supuestos!$B$14,0)</f>
        <v>0</v>
      </c>
      <c r="E61" s="18">
        <f>E60*(1-Supuestos!$B$7)+C61+D61</f>
        <v>230.72743764184497</v>
      </c>
      <c r="F61" s="18">
        <f t="array" ref="F61">INDEX(Supuestos!$B$28:$F$28,1,$B61)</f>
        <v>19</v>
      </c>
      <c r="G61" s="23">
        <f t="shared" si="1"/>
        <v>4383.8213151950549</v>
      </c>
      <c r="H61" s="25">
        <f t="array" ref="H61">(Supuestos!$B$11*(1-INDEX(Supuestos!$B$29:$F$29,1,$B61))+Supuestos!$B$12*INDEX(Supuestos!$B$29:$F$29,1,$B61))*(1-INDEX(Supuestos!$B$30:$F$30,1,$B61))*Supuestos!$B$8</f>
        <v>19.8</v>
      </c>
      <c r="I61" s="26">
        <f t="shared" si="2"/>
        <v>86799.662040862095</v>
      </c>
      <c r="J61" s="26">
        <f t="array" ref="J61">IF(A61&lt;Supuestos!$B$15,0,G61*INDEX(Supuestos!$B$31:$F$31,1,$B61)/12*INDEX(Supuestos!$B$32:$F$32,1,$B61))</f>
        <v>32878.659863962908</v>
      </c>
      <c r="K61" s="26">
        <f>J61*Supuestos!$B$16</f>
        <v>6575.7319727925824</v>
      </c>
      <c r="L61" s="26">
        <f t="shared" si="3"/>
        <v>93375.394013654673</v>
      </c>
      <c r="M61" s="26">
        <f t="array" ref="M61">SUMPRODUCT((Plantilla!$D$5:$D$18&lt;=A61)*INDEX(Plantilla!$E$5:$I$18,0,B61))/12</f>
        <v>37750</v>
      </c>
      <c r="N61" s="26">
        <f>M61*Supuestos!$B$17</f>
        <v>12080</v>
      </c>
      <c r="O61" s="26">
        <f t="shared" si="4"/>
        <v>49830</v>
      </c>
      <c r="P61" s="26">
        <f t="array" ref="P61">C61*INDEX(Supuestos!$B$33:$F$33,1,$B61)+INDEX(Supuestos!$B$34:$F$34,1,$B61)+L61*INDEX(Supuestos!$B$35:$F$35,1,$B61)+IF(AND(A61&gt;=4,A61&lt;=6),Supuestos!$B$20/3,0)</f>
        <v>6335.0157605461864</v>
      </c>
      <c r="Q61" s="26">
        <f t="array" ref="Q61">INDEX(Supuestos!$B$36:$F$36,1,$B61)</f>
        <v>2200</v>
      </c>
      <c r="R61" s="26">
        <f>G61*Supuestos!$B$18</f>
        <v>438.38213151950549</v>
      </c>
      <c r="S61" s="26">
        <f>L61*Supuestos!$B$19</f>
        <v>1400.6309102048201</v>
      </c>
      <c r="T61" s="26">
        <f t="array" ref="T61">INDEX(Supuestos!$B$37:$F$37,1,$B61)</f>
        <v>1720</v>
      </c>
      <c r="U61" s="26">
        <f>SUMIF(Supuestos!$B$41:$B$43,A61,Supuestos!$C$41:$C$43)</f>
        <v>0</v>
      </c>
      <c r="V61" s="26">
        <f t="shared" si="5"/>
        <v>61924.028802270514</v>
      </c>
      <c r="W61" s="26">
        <f t="shared" si="6"/>
        <v>31451.36521138416</v>
      </c>
      <c r="X61" s="26">
        <f>SUMIF(Supuestos!$B$45:$B$47,A61,Supuestos!$C$45:$C$47)</f>
        <v>0</v>
      </c>
      <c r="Y61" s="26">
        <f>SUMPRODUCT((Supuestos!$B$45:$B$47&lt;=A61)*(Supuestos!$B$45:$B$47+Supuestos!$B$21&gt;A61)*Supuestos!$C$45:$C$47)/Supuestos!$B$21</f>
        <v>166.66666666666666</v>
      </c>
      <c r="Z61" s="26">
        <f t="shared" si="7"/>
        <v>31284.698544717492</v>
      </c>
      <c r="AA61" s="26">
        <f>IF(A61&gt;=Supuestos!$B$52,(Supuestos!$B$51-SUM(AC$1:AC60))*Supuestos!$B$53/12,0)</f>
        <v>8.3333333333333339</v>
      </c>
      <c r="AB61" s="26">
        <f t="shared" si="8"/>
        <v>31276.36521138416</v>
      </c>
      <c r="AC61" s="26">
        <f>IF(AND(A61&gt;Supuestos!$B$52+Supuestos!$B$54,A61&lt;=Supuestos!$B$52+Supuestos!$B$54+Supuestos!$B$55),Supuestos!$B$51/Supuestos!$B$55,0)</f>
        <v>1250</v>
      </c>
      <c r="AD61" s="26">
        <f>IF(A61=1,Supuestos!$B$50,0)+IF(A61=Supuestos!$B$52,Supuestos!$B$51,0)+IF(A61=Supuestos!$B$57,Supuestos!$B$56,0)</f>
        <v>0</v>
      </c>
      <c r="AE61" s="26">
        <f t="array" ref="AE61">IF(AND(MOD(A61,12)=0,B61&gt;=2),INDEX(Anual!$B$32:$F$32,1,B61-1),0)</f>
        <v>0</v>
      </c>
      <c r="AF61" s="26">
        <f t="shared" si="10"/>
        <v>416050.89835321781</v>
      </c>
      <c r="AG61" s="14">
        <f>COUNTIF(Plantilla!$D$5:$D$18,"&lt;="&amp;A61)</f>
        <v>14</v>
      </c>
      <c r="AH61" s="14">
        <f>IF(W61&gt;0,1,0)</f>
        <v>1</v>
      </c>
      <c r="AI61" s="26">
        <f t="array" ref="AI61">SUMPRODUCT((Plantilla!$D$5:$D$18&lt;=A61)*(Plantilla!$C$5:$C$18="Comercial")*INDEX(Plantilla!$E$5:$I$18,0,B61))/12*(1+Supuestos!$B$17)</f>
        <v>13970.000000000002</v>
      </c>
      <c r="AJ61" s="26">
        <f t="array" ref="AJ61">SUMPRODUCT((Plantilla!$D$5:$D$18&lt;=A61)*(Plantilla!$C$5:$C$18="Customer Success")*INDEX(Plantilla!$E$5:$I$18,0,B61))/12*(1+Supuestos!$B$17)</f>
        <v>9900</v>
      </c>
    </row>
    <row r="62" spans="1:36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1:36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1:36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1:36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1:36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1:36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1:36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1:36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1:36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1:36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1:36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1:36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1:36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1:36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36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1:36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1:36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1:36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1:36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1:36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1:36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1:36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1:36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1:36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1:36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1:36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1:36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1:36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1:36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1:36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1:36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1:36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1:36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1:36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1:36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1:36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1:36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1:36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1:36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1:36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1:36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1:36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1:36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1:36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1:36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1:36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1:36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1:36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1:36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1:36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1:36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1:36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1:36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1:36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1:36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1:36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1:36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1:36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1:36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1:36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1:36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1:36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1:36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1:36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1:36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1:36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1:36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1:36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1:36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1:36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1:36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1:36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1:36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1:36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1:36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1:36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36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1:36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1:36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1:36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1:36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1:36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1:36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1:36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1:36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1:36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1:36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1:36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1:36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1:36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1:36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1:36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1:36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1:36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1:36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1:36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1:36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1:36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1:36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1:36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1:36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1:36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1:36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1:36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1:36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1:36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1:36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1:36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1:36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1:36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1:36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1:36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1:36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1:36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1:36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1:36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1:36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1:36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1:36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1:36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1:36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1:36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1:36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1:36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1:36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1:36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1:36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1:36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1:36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1:36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1:36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1:36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1:36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1:36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1:36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1:36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1:36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1:36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1:36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1:36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1:36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1:36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1:36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1:36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1:36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1:36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1:36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1:36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1:36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1:36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1:36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1:36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1:36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1:36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1:36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1:36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1:36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1:36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1:36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1:36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1:36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1:36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1:36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1:36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1:36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1:36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1:36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1:36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1:36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1:36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1:36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1:36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1:36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1:36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1:36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1:36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1:36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1:36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1:36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1:36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1:36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1:36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1:36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1:36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1:36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1:36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1:36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1:36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1:36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1:36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1:36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1:36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1:36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1:36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1:36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1:36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1:36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1:36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1:36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1:36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1:36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1:36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1:36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1:36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1:36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1:36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1:36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1:36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1:36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1:36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spans="1:36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spans="1:36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spans="1:36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spans="1:36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spans="1:36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spans="1:36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spans="1:36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spans="1:36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spans="1:36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spans="1:36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spans="1:36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spans="1:36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spans="1:36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spans="1:36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spans="1:36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spans="1:36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spans="1:36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spans="1:36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spans="1:36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spans="1:36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spans="1:36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spans="1:36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spans="1:36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spans="1:36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spans="1:36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spans="1:36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spans="1:36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spans="1:36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spans="1:36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spans="1:36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spans="1:36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spans="1:36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spans="1:36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spans="1:36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spans="1:36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spans="1:36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spans="1:36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spans="1:36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spans="1:36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spans="1:36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spans="1:36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spans="1:36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spans="1:36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spans="1:36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spans="1:36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spans="1:36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spans="1:36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spans="1:36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spans="1:36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spans="1:36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spans="1:36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spans="1:36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spans="1:36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spans="1:36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spans="1:36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spans="1:36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spans="1:36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spans="1:36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spans="1:36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spans="1:36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spans="1:36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spans="1:36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spans="1:36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spans="1:36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spans="1:36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spans="1:36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spans="1:36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spans="1:36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spans="1:36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spans="1:36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spans="1:36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spans="1:36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spans="1:36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spans="1:36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spans="1:36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spans="1:36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spans="1:36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spans="1:36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spans="1:36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spans="1:36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spans="1:36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spans="1:36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spans="1:36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spans="1:36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spans="1:36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spans="1:36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spans="1:36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spans="1:36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spans="1:36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spans="1:36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spans="1:36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spans="1:36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spans="1:36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spans="1:36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spans="1:36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spans="1:36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spans="1:36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spans="1:36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spans="1:36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spans="1:36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spans="1:36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spans="1:36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spans="1:36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spans="1:36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spans="1:36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spans="1:36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spans="1:36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spans="1:36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spans="1:36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spans="1:36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spans="1:36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spans="1:36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spans="1:36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spans="1:36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spans="1:36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spans="1:36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spans="1:36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spans="1:36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spans="1:36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spans="1:36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spans="1:36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spans="1:36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spans="1:36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spans="1:36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spans="1:36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spans="1:36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spans="1:36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spans="1:36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spans="1:36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spans="1:36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spans="1:36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spans="1:36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spans="1:36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spans="1:36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spans="1:36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spans="1:36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spans="1:36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spans="1:36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spans="1:36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spans="1:36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spans="1:36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spans="1:36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spans="1:36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spans="1:36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spans="1:36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spans="1:36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spans="1:36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spans="1:36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spans="1:36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spans="1:36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spans="1:36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spans="1:36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spans="1:36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spans="1:36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spans="1:36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spans="1:36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spans="1:36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spans="1:36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spans="1:36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spans="1:36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spans="1:36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spans="1:36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spans="1:36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spans="1:36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spans="1:36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spans="1:36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spans="1:36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spans="1:36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spans="1:36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spans="1:36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spans="1:36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spans="1:36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spans="1:36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spans="1:36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spans="1:36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spans="1:36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spans="1:36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spans="1:36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spans="1:36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spans="1:36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spans="1:36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spans="1:36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spans="1:36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spans="1:36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spans="1:36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spans="1:36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spans="1:36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spans="1:36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spans="1:36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spans="1:36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spans="1:36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spans="1:36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spans="1:36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spans="1:36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spans="1:36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spans="1:36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spans="1:36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spans="1:36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spans="1:36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spans="1:36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spans="1:36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spans="1:36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spans="1:36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spans="1:36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spans="1:36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spans="1:36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spans="1:36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spans="1:36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spans="1:36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spans="1:36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spans="1:36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spans="1:36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spans="1:36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spans="1:36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spans="1:36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spans="1:36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spans="1:36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spans="1:36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spans="1:36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spans="1:36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spans="1:36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spans="1:36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spans="1:36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spans="1:36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spans="1:36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spans="1:36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spans="1:36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spans="1:36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spans="1:36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spans="1:36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spans="1:36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spans="1:36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spans="1:36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spans="1:36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spans="1:36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spans="1:36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spans="1:36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spans="1:36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spans="1:36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spans="1:36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spans="1:36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spans="1:36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spans="1:36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spans="1:36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spans="1:36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spans="1:36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spans="1:36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spans="1:36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spans="1:36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spans="1:36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spans="1:36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spans="1:36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spans="1:36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spans="1:36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spans="1:36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spans="1:36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spans="1:36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spans="1:36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spans="1:36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spans="1:36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spans="1:36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spans="1:36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spans="1:36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spans="1:36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spans="1:36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spans="1:36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spans="1:36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spans="1:36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spans="1:36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spans="1:36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spans="1:36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spans="1:36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spans="1:36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spans="1:36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spans="1:36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spans="1:36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spans="1:36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spans="1:36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spans="1:36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spans="1:36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spans="1:36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spans="1:36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spans="1:36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spans="1:36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spans="1:36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spans="1:36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spans="1:36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spans="1:36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spans="1:36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spans="1:36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spans="1:36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spans="1:36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spans="1:36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spans="1:36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spans="1:36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spans="1:36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spans="1:36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spans="1:36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spans="1:36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spans="1:36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spans="1:36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spans="1:36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spans="1:36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spans="1:36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spans="1:36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spans="1:36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spans="1:36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spans="1:36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spans="1:36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spans="1:36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spans="1:36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spans="1:36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spans="1:36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spans="1:36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spans="1:36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spans="1:36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spans="1:36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spans="1:36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spans="1:36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spans="1:36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spans="1:36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spans="1:36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spans="1:36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spans="1:36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spans="1:36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spans="1:36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spans="1:36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spans="1:36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spans="1:36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spans="1:36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spans="1:36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spans="1:36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spans="1:36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spans="1:36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spans="1:36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spans="1:36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spans="1:36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spans="1:36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spans="1:36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spans="1:36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spans="1:36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spans="1:36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spans="1:36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spans="1:36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spans="1:36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spans="1:36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spans="1:36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spans="1:36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spans="1:36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spans="1:36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spans="1:36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spans="1:36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spans="1:36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spans="1:36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spans="1:36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spans="1:36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spans="1:36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spans="1:36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spans="1:36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spans="1:36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spans="1:36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spans="1:36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spans="1:36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spans="1:36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spans="1:36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spans="1:36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spans="1:36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spans="1:36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spans="1:36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spans="1:36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spans="1:36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spans="1:36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spans="1:36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spans="1:36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spans="1:36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spans="1:36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spans="1:36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spans="1:36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spans="1:36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spans="1:36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spans="1:36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spans="1:36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spans="1:36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spans="1:36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spans="1:36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spans="1:36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spans="1:36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spans="1:36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spans="1:36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spans="1:36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spans="1:36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spans="1:36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spans="1:36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spans="1:36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spans="1:36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spans="1:36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spans="1:36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spans="1:36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spans="1:36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spans="1:36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spans="1:36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spans="1:36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spans="1:36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spans="1:36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spans="1:36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spans="1:36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spans="1:36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spans="1:36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spans="1:36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spans="1:36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spans="1:36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spans="1:36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spans="1:36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spans="1:36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spans="1:36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spans="1:36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spans="1:36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spans="1:36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spans="1:36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spans="1:36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spans="1:36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spans="1:36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spans="1:36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spans="1:36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spans="1:36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spans="1:36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spans="1:36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spans="1:36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spans="1:36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spans="1:36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spans="1:36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spans="1:36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spans="1:36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spans="1:36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spans="1:36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spans="1:36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spans="1:36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spans="1:36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spans="1:36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spans="1:36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spans="1:36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spans="1:36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spans="1:36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spans="1:36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spans="1:36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spans="1:36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spans="1:36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spans="1:36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spans="1:36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spans="1:36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spans="1:36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spans="1:36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spans="1:36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spans="1:36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spans="1:36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spans="1:36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spans="1:36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spans="1:36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spans="1:36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spans="1:36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spans="1:36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spans="1:36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spans="1:36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spans="1:36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spans="1:36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spans="1:36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spans="1:36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spans="1:36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spans="1:36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spans="1:36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spans="1:36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spans="1:36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spans="1:36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spans="1:36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spans="1:36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spans="1:36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spans="1:36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spans="1:36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spans="1:36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spans="1:36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spans="1:36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spans="1:36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spans="1:36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spans="1:36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spans="1:36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spans="1:36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spans="1:36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spans="1:36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spans="1:36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spans="1:36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spans="1:36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spans="1:36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spans="1:36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spans="1:36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spans="1:36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spans="1:36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spans="1:36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spans="1:36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spans="1:36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spans="1:36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spans="1:36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spans="1:36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spans="1:36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spans="1:36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spans="1:36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spans="1:36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spans="1:36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spans="1:36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spans="1:36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spans="1:36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spans="1:36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spans="1:36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spans="1:36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spans="1:36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spans="1:36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spans="1:36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spans="1:36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spans="1:36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spans="1:36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spans="1:36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spans="1:36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spans="1:36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spans="1:36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spans="1:36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spans="1:36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spans="1:36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spans="1:36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spans="1:36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spans="1:36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spans="1:36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spans="1:36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spans="1:36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spans="1:36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spans="1:36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spans="1:36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spans="1:36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spans="1:36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spans="1:36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spans="1:36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spans="1:36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spans="1:36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spans="1:36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spans="1:36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spans="1:36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spans="1:36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spans="1:36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spans="1:36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spans="1:36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spans="1:36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spans="1:36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spans="1:36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spans="1:36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spans="1:36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spans="1:36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spans="1:36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spans="1:36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spans="1:36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spans="1:36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spans="1:36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spans="1:36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spans="1:36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spans="1:36" ht="15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spans="1:36" ht="15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spans="1:36" ht="15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spans="1:36" ht="15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spans="1:36" ht="15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spans="1:36" ht="15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spans="1:36" ht="15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spans="1:36" ht="15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spans="1:36" ht="15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spans="1:36" ht="15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spans="1:36" ht="15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spans="1:36" ht="15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spans="1:36" ht="15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spans="1:36" ht="15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spans="1:36" ht="15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spans="1:36" ht="15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spans="1:36" ht="15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spans="1:36" ht="15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spans="1:36" ht="15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spans="1:36" ht="15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spans="1:36" ht="15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spans="1:36" ht="15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spans="1:36" ht="15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spans="1:36" ht="15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spans="1:36" ht="15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spans="1:36" ht="15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spans="1:36" ht="15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spans="1:36" ht="15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spans="1:36" ht="15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spans="1:36" ht="15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spans="1:36" ht="15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spans="1:36" ht="15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spans="1:36" ht="15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spans="1:36" ht="15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spans="1:36" ht="15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spans="1:36" ht="15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spans="1:36" ht="15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spans="1:36" ht="15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spans="1:36" ht="15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spans="1:36" ht="15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spans="1:36" ht="15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spans="1:36" ht="15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spans="1:36" ht="15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spans="1:36" ht="15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spans="1:36" ht="15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spans="1:36" ht="15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spans="1:36" ht="15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spans="1:36" ht="15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spans="1:36" ht="15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spans="1:36" ht="15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spans="1:36" ht="15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spans="1:36" ht="15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spans="1:36" ht="15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spans="1:36" ht="15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spans="1:36" ht="15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spans="1:36" ht="15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spans="1:36" ht="15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spans="1:36" ht="15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spans="1:36" ht="15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spans="1:36" ht="15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spans="1:36" ht="15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spans="1:36" ht="15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spans="1:36" ht="15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spans="1:36" ht="15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spans="1:36" ht="15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spans="1:36" ht="15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spans="1:36" ht="15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spans="1:36" ht="15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spans="1:36" ht="15.7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spans="1:36" ht="15.7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spans="1:36" ht="15.7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spans="1:36" ht="15.7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453125" defaultRowHeight="15" customHeight="1" x14ac:dyDescent="0.35"/>
  <cols>
    <col min="1" max="1" width="46" customWidth="1"/>
    <col min="2" max="7" width="15" customWidth="1"/>
    <col min="8" max="26" width="8.7265625" customWidth="1"/>
  </cols>
  <sheetData>
    <row r="1" spans="1:7" ht="17.25" customHeight="1" x14ac:dyDescent="0.4">
      <c r="A1" s="1" t="s">
        <v>179</v>
      </c>
      <c r="B1" s="4"/>
      <c r="C1" s="4"/>
      <c r="D1" s="4"/>
      <c r="E1" s="4"/>
      <c r="F1" s="4"/>
      <c r="G1" s="4"/>
    </row>
    <row r="2" spans="1:7" ht="14.5" x14ac:dyDescent="0.35">
      <c r="A2" s="4"/>
      <c r="B2" s="4"/>
      <c r="C2" s="4"/>
      <c r="D2" s="4"/>
      <c r="E2" s="4"/>
      <c r="F2" s="4"/>
      <c r="G2" s="4"/>
    </row>
    <row r="3" spans="1:7" ht="15" customHeight="1" x14ac:dyDescent="0.35">
      <c r="A3" s="6" t="s">
        <v>180</v>
      </c>
      <c r="B3" s="6" t="s">
        <v>41</v>
      </c>
      <c r="C3" s="6" t="s">
        <v>43</v>
      </c>
      <c r="D3" s="6" t="s">
        <v>45</v>
      </c>
      <c r="E3" s="6" t="s">
        <v>48</v>
      </c>
      <c r="F3" s="6" t="s">
        <v>50</v>
      </c>
      <c r="G3" s="6" t="s">
        <v>181</v>
      </c>
    </row>
    <row r="4" spans="1:7" ht="15" customHeight="1" x14ac:dyDescent="0.35">
      <c r="A4" s="7" t="s">
        <v>182</v>
      </c>
      <c r="B4" s="29"/>
      <c r="C4" s="29"/>
      <c r="D4" s="29"/>
      <c r="E4" s="29"/>
      <c r="F4" s="29"/>
      <c r="G4" s="29"/>
    </row>
    <row r="5" spans="1:7" ht="15" customHeight="1" x14ac:dyDescent="0.35">
      <c r="A5" s="3" t="s">
        <v>183</v>
      </c>
      <c r="B5" s="30">
        <f t="array" ref="B5">INDEX(Mensual!$E$2:$E$61,12)</f>
        <v>15.031445100799999</v>
      </c>
      <c r="C5" s="30">
        <f t="array" ref="C5">INDEX(Mensual!$E$2:$E$61,24)</f>
        <v>54.852081605539276</v>
      </c>
      <c r="D5" s="30">
        <f t="array" ref="D5">INDEX(Mensual!$E$2:$E$61,36)</f>
        <v>107.62832864709264</v>
      </c>
      <c r="E5" s="30">
        <f t="array" ref="E5">INDEX(Mensual!$E$2:$E$61,48)</f>
        <v>170.57105994307884</v>
      </c>
      <c r="F5" s="30">
        <f t="array" ref="F5">INDEX(Mensual!$E$2:$E$61,60)</f>
        <v>230.72743764184497</v>
      </c>
      <c r="G5" s="4"/>
    </row>
    <row r="6" spans="1:7" ht="15" customHeight="1" x14ac:dyDescent="0.35">
      <c r="A6" s="3" t="s">
        <v>184</v>
      </c>
      <c r="B6" s="30">
        <f t="array" ref="B6">INDEX(Mensual!$G$2:$G$61,12)</f>
        <v>195.40878631039999</v>
      </c>
      <c r="C6" s="30">
        <f t="array" ref="C6">INDEX(Mensual!$G$2:$G$61,24)</f>
        <v>877.63330568862841</v>
      </c>
      <c r="D6" s="30">
        <f t="array" ref="D6">INDEX(Mensual!$G$2:$G$61,36)</f>
        <v>1937.3099156476676</v>
      </c>
      <c r="E6" s="30">
        <f t="array" ref="E6">INDEX(Mensual!$G$2:$G$61,48)</f>
        <v>3240.850138918498</v>
      </c>
      <c r="F6" s="30">
        <f t="array" ref="F6">INDEX(Mensual!$G$2:$G$61,60)</f>
        <v>4383.8213151950549</v>
      </c>
      <c r="G6" s="4"/>
    </row>
    <row r="7" spans="1:7" ht="15" customHeight="1" x14ac:dyDescent="0.35">
      <c r="A7" s="3" t="s">
        <v>185</v>
      </c>
      <c r="B7" s="31">
        <f t="array" ref="B7">INDEX(Mensual!$AG$2:$AG$61,12)</f>
        <v>3</v>
      </c>
      <c r="C7" s="31">
        <f t="array" ref="C7">INDEX(Mensual!$AG$2:$AG$61,24)</f>
        <v>6</v>
      </c>
      <c r="D7" s="31">
        <f t="array" ref="D7">INDEX(Mensual!$AG$2:$AG$61,36)</f>
        <v>8</v>
      </c>
      <c r="E7" s="31">
        <f t="array" ref="E7">INDEX(Mensual!$AG$2:$AG$61,48)</f>
        <v>13</v>
      </c>
      <c r="F7" s="31">
        <f t="array" ref="F7">INDEX(Mensual!$AG$2:$AG$61,60)</f>
        <v>14</v>
      </c>
      <c r="G7" s="4"/>
    </row>
    <row r="8" spans="1:7" ht="15" customHeight="1" x14ac:dyDescent="0.35">
      <c r="A8" s="3" t="s">
        <v>186</v>
      </c>
      <c r="B8" s="32">
        <f t="array" ref="B8">INDEX(Mensual!$L$2:$L$61,12)</f>
        <v>2892.0500373939199</v>
      </c>
      <c r="C8" s="32">
        <f t="array" ref="C8">INDEX(Mensual!$L$2:$L$61,24)</f>
        <v>15604.320175143814</v>
      </c>
      <c r="D8" s="32">
        <f t="array" ref="D8">INDEX(Mensual!$L$2:$L$61,36)</f>
        <v>37173.102661447447</v>
      </c>
      <c r="E8" s="32">
        <f t="array" ref="E8">INDEX(Mensual!$L$2:$L$61,48)</f>
        <v>66137.649209979252</v>
      </c>
      <c r="F8" s="32">
        <f t="array" ref="F8">INDEX(Mensual!$L$2:$L$61,60)</f>
        <v>93375.394013654673</v>
      </c>
      <c r="G8" s="4"/>
    </row>
    <row r="9" spans="1:7" ht="15" customHeight="1" x14ac:dyDescent="0.35">
      <c r="A9" s="7" t="s">
        <v>187</v>
      </c>
      <c r="B9" s="29"/>
      <c r="C9" s="29"/>
      <c r="D9" s="29"/>
      <c r="E9" s="29"/>
      <c r="F9" s="29"/>
      <c r="G9" s="29"/>
    </row>
    <row r="10" spans="1:7" ht="15" customHeight="1" x14ac:dyDescent="0.35">
      <c r="A10" s="3" t="s">
        <v>25</v>
      </c>
      <c r="B10" s="32">
        <f>SUMIF(Mensual!$B$2:$B$61,1,Mensual!$I$2:$I$61)</f>
        <v>12209.54816769792</v>
      </c>
      <c r="C10" s="32">
        <f>SUMIF(Mensual!$B$2:$B$61,2,Mensual!$I$2:$I$61)</f>
        <v>124081.1305393145</v>
      </c>
      <c r="D10" s="32">
        <f>SUMIF(Mensual!$B$2:$B$61,3,Mensual!$I$2:$I$61)</f>
        <v>333780.69079979125</v>
      </c>
      <c r="E10" s="32">
        <f>SUMIF(Mensual!$B$2:$B$61,4,Mensual!$I$2:$I$61)</f>
        <v>624948.08002308442</v>
      </c>
      <c r="F10" s="32">
        <f>SUMIF(Mensual!$B$2:$B$61,5,Mensual!$I$2:$I$61)</f>
        <v>922569.36477648444</v>
      </c>
      <c r="G10" s="33">
        <f t="shared" ref="G10:G19" si="0">SUM(B10:F10)</f>
        <v>2017588.8143063725</v>
      </c>
    </row>
    <row r="11" spans="1:7" ht="15" customHeight="1" x14ac:dyDescent="0.35">
      <c r="A11" s="3" t="s">
        <v>188</v>
      </c>
      <c r="B11" s="32">
        <f>SUMIF(Mensual!$B$2:$B$61,1,Mensual!$J$2:$J$61)</f>
        <v>0</v>
      </c>
      <c r="C11" s="32">
        <f>SUMIF(Mensual!$B$2:$B$61,2,Mensual!$J$2:$J$61)</f>
        <v>17951.552450711013</v>
      </c>
      <c r="D11" s="32">
        <f>SUMIF(Mensual!$B$2:$B$61,3,Mensual!$J$2:$J$61)</f>
        <v>82131.075492074597</v>
      </c>
      <c r="E11" s="32">
        <f>SUMIF(Mensual!$B$2:$B$61,4,Mensual!$J$2:$J$61)</f>
        <v>201714.46244876547</v>
      </c>
      <c r="F11" s="32">
        <f>SUMIF(Mensual!$B$2:$B$61,5,Mensual!$J$2:$J$61)</f>
        <v>349458.09271836531</v>
      </c>
      <c r="G11" s="33">
        <f t="shared" si="0"/>
        <v>651255.1831099164</v>
      </c>
    </row>
    <row r="12" spans="1:7" ht="15" customHeight="1" x14ac:dyDescent="0.35">
      <c r="A12" s="3" t="s">
        <v>189</v>
      </c>
      <c r="B12" s="32">
        <f>SUMIF(Mensual!$B$2:$B$61,1,Mensual!$K$2:$K$61)</f>
        <v>0</v>
      </c>
      <c r="C12" s="32">
        <f>SUMIF(Mensual!$B$2:$B$61,2,Mensual!$K$2:$K$61)</f>
        <v>3590.310490142203</v>
      </c>
      <c r="D12" s="32">
        <f>SUMIF(Mensual!$B$2:$B$61,3,Mensual!$K$2:$K$61)</f>
        <v>16426.215098414923</v>
      </c>
      <c r="E12" s="32">
        <f>SUMIF(Mensual!$B$2:$B$61,4,Mensual!$K$2:$K$61)</f>
        <v>40342.892489753096</v>
      </c>
      <c r="F12" s="32">
        <f>SUMIF(Mensual!$B$2:$B$61,5,Mensual!$K$2:$K$61)</f>
        <v>69891.618543673059</v>
      </c>
      <c r="G12" s="33">
        <f t="shared" si="0"/>
        <v>130251.03662198328</v>
      </c>
    </row>
    <row r="13" spans="1:7" ht="15" customHeight="1" x14ac:dyDescent="0.35">
      <c r="A13" s="2" t="s">
        <v>29</v>
      </c>
      <c r="B13" s="34">
        <f>SUMIF(Mensual!$B$2:$B$61,1,Mensual!$L$2:$L$61)</f>
        <v>12209.54816769792</v>
      </c>
      <c r="C13" s="34">
        <f>SUMIF(Mensual!$B$2:$B$61,2,Mensual!$L$2:$L$61)</f>
        <v>127671.44102945669</v>
      </c>
      <c r="D13" s="34">
        <f>SUMIF(Mensual!$B$2:$B$61,3,Mensual!$L$2:$L$61)</f>
        <v>350206.90589820611</v>
      </c>
      <c r="E13" s="34">
        <f>SUMIF(Mensual!$B$2:$B$61,4,Mensual!$L$2:$L$61)</f>
        <v>665290.97251283738</v>
      </c>
      <c r="F13" s="34">
        <f>SUMIF(Mensual!$B$2:$B$61,5,Mensual!$L$2:$L$61)</f>
        <v>992460.98332015751</v>
      </c>
      <c r="G13" s="33">
        <f t="shared" si="0"/>
        <v>2147839.8509283555</v>
      </c>
    </row>
    <row r="14" spans="1:7" ht="15" customHeight="1" x14ac:dyDescent="0.35">
      <c r="A14" s="3" t="s">
        <v>190</v>
      </c>
      <c r="B14" s="32">
        <f>SUMIF(Mensual!$B$2:$B$61,1,Mensual!$O$2:$O$61)</f>
        <v>38412</v>
      </c>
      <c r="C14" s="32">
        <f>SUMIF(Mensual!$B$2:$B$61,2,Mensual!$O$2:$O$61)</f>
        <v>192060</v>
      </c>
      <c r="D14" s="32">
        <f>SUMIF(Mensual!$B$2:$B$61,3,Mensual!$O$2:$O$61)</f>
        <v>283800</v>
      </c>
      <c r="E14" s="32">
        <f>SUMIF(Mensual!$B$2:$B$61,4,Mensual!$O$2:$O$61)</f>
        <v>457380</v>
      </c>
      <c r="F14" s="32">
        <f>SUMIF(Mensual!$B$2:$B$61,5,Mensual!$O$2:$O$61)</f>
        <v>574860</v>
      </c>
      <c r="G14" s="33">
        <f t="shared" si="0"/>
        <v>1546512</v>
      </c>
    </row>
    <row r="15" spans="1:7" ht="15" customHeight="1" x14ac:dyDescent="0.35">
      <c r="A15" s="3" t="s">
        <v>34</v>
      </c>
      <c r="B15" s="32">
        <f>SUMIF(Mensual!$B$2:$B$61,1,Mensual!$P$2:$P$61)</f>
        <v>6900</v>
      </c>
      <c r="C15" s="32">
        <f>SUMIF(Mensual!$B$2:$B$61,2,Mensual!$P$2:$P$61)</f>
        <v>19200</v>
      </c>
      <c r="D15" s="32">
        <f>SUMIF(Mensual!$B$2:$B$61,3,Mensual!$P$2:$P$61)</f>
        <v>38008.276235928242</v>
      </c>
      <c r="E15" s="32">
        <f>SUMIF(Mensual!$B$2:$B$61,4,Mensual!$P$2:$P$61)</f>
        <v>55411.638900513499</v>
      </c>
      <c r="F15" s="32">
        <f>SUMIF(Mensual!$B$2:$B$61,5,Mensual!$P$2:$P$61)</f>
        <v>70898.439332806302</v>
      </c>
      <c r="G15" s="33">
        <f t="shared" si="0"/>
        <v>190418.35446924804</v>
      </c>
    </row>
    <row r="16" spans="1:7" ht="15" customHeight="1" x14ac:dyDescent="0.35">
      <c r="A16" s="3" t="s">
        <v>191</v>
      </c>
      <c r="B16" s="26">
        <f>SUMIF(Mensual!$B$2:$B$61,1,Mensual!$Q$2:$Q$61)+SUMIF(Mensual!$B$2:$B$61,1,Mensual!$R$2:$R$61)+SUMIF(Mensual!$B$2:$B$61,1,Mensual!$S$2:$S$61)</f>
        <v>2065.6401695945087</v>
      </c>
      <c r="C16" s="26">
        <f>SUMIF(Mensual!$B$2:$B$61,2,Mensual!$Q$2:$Q$61)+SUMIF(Mensual!$B$2:$B$61,2,Mensual!$R$2:$R$61)+SUMIF(Mensual!$B$2:$B$61,2,Mensual!$S$2:$S$61)</f>
        <v>7433.1337134702908</v>
      </c>
      <c r="D16" s="26">
        <f>SUMIF(Mensual!$B$2:$B$61,3,Mensual!$Q$2:$Q$61)+SUMIF(Mensual!$B$2:$B$61,3,Mensual!$R$2:$R$61)+SUMIF(Mensual!$B$2:$B$61,3,Mensual!$S$2:$S$61)</f>
        <v>16678.238599408083</v>
      </c>
      <c r="E16" s="26">
        <f>SUMIF(Mensual!$B$2:$B$61,4,Mensual!$Q$2:$Q$61)+SUMIF(Mensual!$B$2:$B$61,4,Mensual!$R$2:$R$61)+SUMIF(Mensual!$B$2:$B$61,4,Mensual!$S$2:$S$61)</f>
        <v>30039.396304036243</v>
      </c>
      <c r="F16" s="26">
        <f>SUMIF(Mensual!$B$2:$B$61,5,Mensual!$Q$2:$Q$61)+SUMIF(Mensual!$B$2:$B$61,5,Mensual!$R$2:$R$61)+SUMIF(Mensual!$B$2:$B$61,5,Mensual!$S$2:$S$61)</f>
        <v>45946.355986047231</v>
      </c>
      <c r="G16" s="33">
        <f t="shared" si="0"/>
        <v>102162.76477255636</v>
      </c>
    </row>
    <row r="17" spans="1:7" ht="15" customHeight="1" x14ac:dyDescent="0.35">
      <c r="A17" s="3" t="s">
        <v>192</v>
      </c>
      <c r="B17" s="26">
        <f>SUMIF(Mensual!$B$2:$B$61,1,Mensual!$T$2:$T$61)+SUMIF(Mensual!$B$2:$B$61,1,Mensual!$U$2:$U$61)</f>
        <v>15040</v>
      </c>
      <c r="C17" s="26">
        <f>SUMIF(Mensual!$B$2:$B$61,2,Mensual!$T$2:$T$61)+SUMIF(Mensual!$B$2:$B$61,2,Mensual!$U$2:$U$61)</f>
        <v>13040</v>
      </c>
      <c r="D17" s="26">
        <f>SUMIF(Mensual!$B$2:$B$61,3,Mensual!$T$2:$T$61)+SUMIF(Mensual!$B$2:$B$61,3,Mensual!$U$2:$U$61)</f>
        <v>13440</v>
      </c>
      <c r="E17" s="26">
        <f>SUMIF(Mensual!$B$2:$B$61,4,Mensual!$T$2:$T$61)+SUMIF(Mensual!$B$2:$B$61,4,Mensual!$U$2:$U$61)</f>
        <v>20040</v>
      </c>
      <c r="F17" s="26">
        <f>SUMIF(Mensual!$B$2:$B$61,5,Mensual!$T$2:$T$61)+SUMIF(Mensual!$B$2:$B$61,5,Mensual!$U$2:$U$61)</f>
        <v>20640</v>
      </c>
      <c r="G17" s="33">
        <f t="shared" si="0"/>
        <v>82200</v>
      </c>
    </row>
    <row r="18" spans="1:7" ht="15" customHeight="1" x14ac:dyDescent="0.35">
      <c r="A18" s="3" t="s">
        <v>193</v>
      </c>
      <c r="B18" s="32">
        <f>SUMIF(Mensual!$B$2:$B$61,1,Mensual!$V$2:$V$61)</f>
        <v>62417.64016959451</v>
      </c>
      <c r="C18" s="32">
        <f>SUMIF(Mensual!$B$2:$B$61,2,Mensual!$V$2:$V$61)</f>
        <v>231733.13371347028</v>
      </c>
      <c r="D18" s="32">
        <f>SUMIF(Mensual!$B$2:$B$61,3,Mensual!$V$2:$V$61)</f>
        <v>351926.5148353363</v>
      </c>
      <c r="E18" s="32">
        <f>SUMIF(Mensual!$B$2:$B$61,4,Mensual!$V$2:$V$61)</f>
        <v>562871.03520454967</v>
      </c>
      <c r="F18" s="32">
        <f>SUMIF(Mensual!$B$2:$B$61,5,Mensual!$V$2:$V$61)</f>
        <v>712344.79531885358</v>
      </c>
      <c r="G18" s="33">
        <f t="shared" si="0"/>
        <v>1921293.1192418044</v>
      </c>
    </row>
    <row r="19" spans="1:7" ht="15" customHeight="1" x14ac:dyDescent="0.35">
      <c r="A19" s="2" t="s">
        <v>49</v>
      </c>
      <c r="B19" s="34">
        <f>SUMIF(Mensual!$B$2:$B$61,1,Mensual!$W$2:$W$61)</f>
        <v>-50208.092001896584</v>
      </c>
      <c r="C19" s="34">
        <f>SUMIF(Mensual!$B$2:$B$61,2,Mensual!$W$2:$W$61)</f>
        <v>-104061.69268401359</v>
      </c>
      <c r="D19" s="34">
        <f>SUMIF(Mensual!$B$2:$B$61,3,Mensual!$W$2:$W$61)</f>
        <v>-1719.6089371301896</v>
      </c>
      <c r="E19" s="34">
        <f>SUMIF(Mensual!$B$2:$B$61,4,Mensual!$W$2:$W$61)</f>
        <v>102419.93730828766</v>
      </c>
      <c r="F19" s="34">
        <f>SUMIF(Mensual!$B$2:$B$61,5,Mensual!$W$2:$W$61)</f>
        <v>280116.18800130393</v>
      </c>
      <c r="G19" s="33">
        <f t="shared" si="0"/>
        <v>226546.73168655124</v>
      </c>
    </row>
    <row r="20" spans="1:7" ht="15" customHeight="1" x14ac:dyDescent="0.35">
      <c r="A20" s="3" t="s">
        <v>194</v>
      </c>
      <c r="B20" s="35">
        <f t="shared" ref="B20:F20" si="1">IF(B13=0,0,B19/B13)</f>
        <v>-4.1121990193485756</v>
      </c>
      <c r="C20" s="35">
        <f t="shared" si="1"/>
        <v>-0.81507416102559849</v>
      </c>
      <c r="D20" s="35">
        <f t="shared" si="1"/>
        <v>-4.9102656405925491E-3</v>
      </c>
      <c r="E20" s="35">
        <f t="shared" si="1"/>
        <v>0.15394758314762999</v>
      </c>
      <c r="F20" s="35">
        <f t="shared" si="1"/>
        <v>0.28224403045468782</v>
      </c>
      <c r="G20" s="4"/>
    </row>
    <row r="21" spans="1:7" ht="15" customHeight="1" x14ac:dyDescent="0.35">
      <c r="A21" s="3" t="s">
        <v>53</v>
      </c>
      <c r="B21" s="32">
        <f>SUMIF(Mensual!$B$2:$B$61,1,Mensual!$Y$2:$Y$61)</f>
        <v>2000.0000000000002</v>
      </c>
      <c r="C21" s="32">
        <f>SUMIF(Mensual!$B$2:$B$61,2,Mensual!$Y$2:$Y$61)</f>
        <v>2000.0000000000002</v>
      </c>
      <c r="D21" s="32">
        <f>SUMIF(Mensual!$B$2:$B$61,3,Mensual!$Y$2:$Y$61)</f>
        <v>2166.666666666667</v>
      </c>
      <c r="E21" s="32">
        <f>SUMIF(Mensual!$B$2:$B$61,4,Mensual!$Y$2:$Y$61)</f>
        <v>2000.0000000000002</v>
      </c>
      <c r="F21" s="32">
        <f>SUMIF(Mensual!$B$2:$B$61,5,Mensual!$Y$2:$Y$61)</f>
        <v>2000.0000000000002</v>
      </c>
      <c r="G21" s="33">
        <f t="shared" ref="G21:G24" si="2">SUM(B21:F21)</f>
        <v>10166.666666666668</v>
      </c>
    </row>
    <row r="22" spans="1:7" ht="15" customHeight="1" x14ac:dyDescent="0.35">
      <c r="A22" s="3" t="s">
        <v>54</v>
      </c>
      <c r="B22" s="32">
        <f>SUMIF(Mensual!$B$2:$B$61,1,Mensual!$Z$2:$Z$61)</f>
        <v>-52208.092001896584</v>
      </c>
      <c r="C22" s="32">
        <f>SUMIF(Mensual!$B$2:$B$61,2,Mensual!$Z$2:$Z$61)</f>
        <v>-106061.69268401357</v>
      </c>
      <c r="D22" s="32">
        <f>SUMIF(Mensual!$B$2:$B$61,3,Mensual!$Z$2:$Z$61)</f>
        <v>-3886.275603796862</v>
      </c>
      <c r="E22" s="32">
        <f>SUMIF(Mensual!$B$2:$B$61,4,Mensual!$Z$2:$Z$61)</f>
        <v>100419.93730828766</v>
      </c>
      <c r="F22" s="32">
        <f>SUMIF(Mensual!$B$2:$B$61,5,Mensual!$Z$2:$Z$61)</f>
        <v>278116.18800130393</v>
      </c>
      <c r="G22" s="33">
        <f t="shared" si="2"/>
        <v>216380.06501988458</v>
      </c>
    </row>
    <row r="23" spans="1:7" ht="15" customHeight="1" x14ac:dyDescent="0.35">
      <c r="A23" s="3" t="s">
        <v>56</v>
      </c>
      <c r="B23" s="32">
        <f>SUMIF(Mensual!$B$2:$B$61,1,Mensual!$AA$2:$AA$61)</f>
        <v>1000</v>
      </c>
      <c r="C23" s="32">
        <f>SUMIF(Mensual!$B$2:$B$61,2,Mensual!$AA$2:$AA$61)</f>
        <v>1200</v>
      </c>
      <c r="D23" s="32">
        <f>SUMIF(Mensual!$B$2:$B$61,3,Mensual!$AA$2:$AA$61)</f>
        <v>1200</v>
      </c>
      <c r="E23" s="32">
        <f>SUMIF(Mensual!$B$2:$B$61,4,Mensual!$AA$2:$AA$61)</f>
        <v>970.83333333333337</v>
      </c>
      <c r="F23" s="32">
        <f>SUMIF(Mensual!$B$2:$B$61,5,Mensual!$AA$2:$AA$61)</f>
        <v>375</v>
      </c>
      <c r="G23" s="33">
        <f t="shared" si="2"/>
        <v>4745.833333333333</v>
      </c>
    </row>
    <row r="24" spans="1:7" ht="15" customHeight="1" x14ac:dyDescent="0.35">
      <c r="A24" s="3" t="s">
        <v>58</v>
      </c>
      <c r="B24" s="32">
        <f>SUMIF(Mensual!$B$2:$B$61,1,Mensual!$AB$2:$AB$61)</f>
        <v>-53208.092001896584</v>
      </c>
      <c r="C24" s="32">
        <f>SUMIF(Mensual!$B$2:$B$61,2,Mensual!$AB$2:$AB$61)</f>
        <v>-107261.69268401357</v>
      </c>
      <c r="D24" s="32">
        <f>SUMIF(Mensual!$B$2:$B$61,3,Mensual!$AB$2:$AB$61)</f>
        <v>-5086.275603796862</v>
      </c>
      <c r="E24" s="32">
        <f>SUMIF(Mensual!$B$2:$B$61,4,Mensual!$AB$2:$AB$61)</f>
        <v>99449.103974954312</v>
      </c>
      <c r="F24" s="32">
        <f>SUMIF(Mensual!$B$2:$B$61,5,Mensual!$AB$2:$AB$61)</f>
        <v>277741.18800130388</v>
      </c>
      <c r="G24" s="33">
        <f t="shared" si="2"/>
        <v>211634.23168655118</v>
      </c>
    </row>
    <row r="25" spans="1:7" ht="15" customHeight="1" x14ac:dyDescent="0.35">
      <c r="A25" s="7" t="s">
        <v>195</v>
      </c>
      <c r="B25" s="29"/>
      <c r="C25" s="29"/>
      <c r="D25" s="29"/>
      <c r="E25" s="29"/>
      <c r="F25" s="29"/>
      <c r="G25" s="29"/>
    </row>
    <row r="26" spans="1:7" ht="15" customHeight="1" x14ac:dyDescent="0.35">
      <c r="A26" s="3" t="s">
        <v>196</v>
      </c>
      <c r="B26" s="26">
        <f>0</f>
        <v>0</v>
      </c>
      <c r="C26" s="26">
        <f t="shared" ref="C26:F26" si="3">B31</f>
        <v>53208.092001896584</v>
      </c>
      <c r="D26" s="26">
        <f t="shared" si="3"/>
        <v>160469.78468591016</v>
      </c>
      <c r="E26" s="26">
        <f t="shared" si="3"/>
        <v>165556.06028970701</v>
      </c>
      <c r="F26" s="26">
        <f t="shared" si="3"/>
        <v>66106.956314752693</v>
      </c>
      <c r="G26" s="4"/>
    </row>
    <row r="27" spans="1:7" ht="15" customHeight="1" x14ac:dyDescent="0.35">
      <c r="A27" s="3" t="s">
        <v>197</v>
      </c>
      <c r="B27" s="26">
        <f t="shared" ref="B27:F27" si="4">IF(B24&gt;0,MIN(B26,B24),0)</f>
        <v>0</v>
      </c>
      <c r="C27" s="26">
        <f t="shared" si="4"/>
        <v>0</v>
      </c>
      <c r="D27" s="26">
        <f t="shared" si="4"/>
        <v>0</v>
      </c>
      <c r="E27" s="26">
        <f t="shared" si="4"/>
        <v>99449.103974954312</v>
      </c>
      <c r="F27" s="26">
        <f t="shared" si="4"/>
        <v>66106.956314752693</v>
      </c>
      <c r="G27" s="33">
        <f t="shared" ref="G27:G28" si="5">SUM(B27:F27)</f>
        <v>165556.06028970701</v>
      </c>
    </row>
    <row r="28" spans="1:7" ht="15" customHeight="1" x14ac:dyDescent="0.35">
      <c r="A28" s="3" t="s">
        <v>198</v>
      </c>
      <c r="B28" s="26">
        <f t="shared" ref="B28:F28" si="6">MAX(B24-B27,0)</f>
        <v>0</v>
      </c>
      <c r="C28" s="26">
        <f t="shared" si="6"/>
        <v>0</v>
      </c>
      <c r="D28" s="26">
        <f t="shared" si="6"/>
        <v>0</v>
      </c>
      <c r="E28" s="26">
        <f t="shared" si="6"/>
        <v>0</v>
      </c>
      <c r="F28" s="26">
        <f t="shared" si="6"/>
        <v>211634.23168655118</v>
      </c>
      <c r="G28" s="33">
        <f t="shared" si="5"/>
        <v>211634.23168655118</v>
      </c>
    </row>
    <row r="29" spans="1:7" ht="15" customHeight="1" x14ac:dyDescent="0.35">
      <c r="A29" s="3" t="s">
        <v>199</v>
      </c>
      <c r="B29" s="14">
        <f>0</f>
        <v>0</v>
      </c>
      <c r="C29" s="14">
        <f t="shared" ref="C29:F29" si="7">B29+IF(B28&gt;0,1,0)</f>
        <v>0</v>
      </c>
      <c r="D29" s="14">
        <f t="shared" si="7"/>
        <v>0</v>
      </c>
      <c r="E29" s="14">
        <f t="shared" si="7"/>
        <v>0</v>
      </c>
      <c r="F29" s="14">
        <f t="shared" si="7"/>
        <v>0</v>
      </c>
      <c r="G29" s="4"/>
    </row>
    <row r="30" spans="1:7" ht="15" customHeight="1" x14ac:dyDescent="0.35">
      <c r="A30" s="3" t="s">
        <v>200</v>
      </c>
      <c r="B30" s="35">
        <f>IF(B29&lt;2,Supuestos!$B$22,Supuestos!$B$23)</f>
        <v>0.15</v>
      </c>
      <c r="C30" s="35">
        <f>IF(C29&lt;2,Supuestos!$B$22,Supuestos!$B$23)</f>
        <v>0.15</v>
      </c>
      <c r="D30" s="35">
        <f>IF(D29&lt;2,Supuestos!$B$22,Supuestos!$B$23)</f>
        <v>0.15</v>
      </c>
      <c r="E30" s="35">
        <f>IF(E29&lt;2,Supuestos!$B$22,Supuestos!$B$23)</f>
        <v>0.15</v>
      </c>
      <c r="F30" s="35">
        <f>IF(F29&lt;2,Supuestos!$B$22,Supuestos!$B$23)</f>
        <v>0.15</v>
      </c>
      <c r="G30" s="4"/>
    </row>
    <row r="31" spans="1:7" ht="15" customHeight="1" x14ac:dyDescent="0.35">
      <c r="A31" s="3" t="s">
        <v>201</v>
      </c>
      <c r="B31" s="26">
        <f t="shared" ref="B31:F31" si="8">B26-B27+IF(B24&lt;0,-B24,0)</f>
        <v>53208.092001896584</v>
      </c>
      <c r="C31" s="26">
        <f t="shared" si="8"/>
        <v>160469.78468591016</v>
      </c>
      <c r="D31" s="26">
        <f t="shared" si="8"/>
        <v>165556.06028970701</v>
      </c>
      <c r="E31" s="26">
        <f t="shared" si="8"/>
        <v>66106.956314752693</v>
      </c>
      <c r="F31" s="26">
        <f t="shared" si="8"/>
        <v>0</v>
      </c>
      <c r="G31" s="4"/>
    </row>
    <row r="32" spans="1:7" ht="15" customHeight="1" x14ac:dyDescent="0.35">
      <c r="A32" s="3" t="s">
        <v>202</v>
      </c>
      <c r="B32" s="26">
        <f t="shared" ref="B32:F32" si="9">B28*B30</f>
        <v>0</v>
      </c>
      <c r="C32" s="26">
        <f t="shared" si="9"/>
        <v>0</v>
      </c>
      <c r="D32" s="26">
        <f t="shared" si="9"/>
        <v>0</v>
      </c>
      <c r="E32" s="26">
        <f t="shared" si="9"/>
        <v>0</v>
      </c>
      <c r="F32" s="26">
        <f t="shared" si="9"/>
        <v>31745.134752982674</v>
      </c>
      <c r="G32" s="33">
        <f t="shared" ref="G32:G33" si="10">SUM(B32:F32)</f>
        <v>31745.134752982674</v>
      </c>
    </row>
    <row r="33" spans="1:7" ht="15" customHeight="1" x14ac:dyDescent="0.35">
      <c r="A33" s="2" t="s">
        <v>203</v>
      </c>
      <c r="B33" s="33">
        <f t="shared" ref="B33:F33" si="11">B24-B32</f>
        <v>-53208.092001896584</v>
      </c>
      <c r="C33" s="33">
        <f t="shared" si="11"/>
        <v>-107261.69268401357</v>
      </c>
      <c r="D33" s="33">
        <f t="shared" si="11"/>
        <v>-5086.275603796862</v>
      </c>
      <c r="E33" s="33">
        <f t="shared" si="11"/>
        <v>99449.103974954312</v>
      </c>
      <c r="F33" s="33">
        <f t="shared" si="11"/>
        <v>245996.0532483212</v>
      </c>
      <c r="G33" s="33">
        <f t="shared" si="10"/>
        <v>179889.09693356851</v>
      </c>
    </row>
    <row r="34" spans="1:7" ht="15" customHeight="1" x14ac:dyDescent="0.35">
      <c r="A34" s="3" t="s">
        <v>204</v>
      </c>
      <c r="B34" s="35">
        <f t="shared" ref="B34:F34" si="12">IF(B13=0,0,B33/B13)</f>
        <v>-4.3579083575480775</v>
      </c>
      <c r="C34" s="35">
        <f t="shared" si="12"/>
        <v>-0.84013849784358485</v>
      </c>
      <c r="D34" s="35">
        <f t="shared" si="12"/>
        <v>-1.4523630225827925E-2</v>
      </c>
      <c r="E34" s="35">
        <f t="shared" si="12"/>
        <v>0.14948211847716805</v>
      </c>
      <c r="F34" s="35">
        <f t="shared" si="12"/>
        <v>0.24786470942703595</v>
      </c>
      <c r="G34" s="4"/>
    </row>
    <row r="35" spans="1:7" ht="15" customHeight="1" x14ac:dyDescent="0.35">
      <c r="A35" s="7" t="s">
        <v>205</v>
      </c>
      <c r="B35" s="29"/>
      <c r="C35" s="29"/>
      <c r="D35" s="29"/>
      <c r="E35" s="29"/>
      <c r="F35" s="29"/>
      <c r="G35" s="29"/>
    </row>
    <row r="36" spans="1:7" ht="15" customHeight="1" x14ac:dyDescent="0.35">
      <c r="A36" s="3" t="s">
        <v>49</v>
      </c>
      <c r="B36" s="26">
        <f t="shared" ref="B36:F36" si="13">B19</f>
        <v>-50208.092001896584</v>
      </c>
      <c r="C36" s="26">
        <f t="shared" si="13"/>
        <v>-104061.69268401359</v>
      </c>
      <c r="D36" s="26">
        <f t="shared" si="13"/>
        <v>-1719.6089371301896</v>
      </c>
      <c r="E36" s="26">
        <f t="shared" si="13"/>
        <v>102419.93730828766</v>
      </c>
      <c r="F36" s="26">
        <f t="shared" si="13"/>
        <v>280116.18800130393</v>
      </c>
      <c r="G36" s="33">
        <f t="shared" ref="G36:G39" si="14">SUM(B36:F36)</f>
        <v>226546.73168655124</v>
      </c>
    </row>
    <row r="37" spans="1:7" ht="15" customHeight="1" x14ac:dyDescent="0.35">
      <c r="A37" s="3" t="s">
        <v>51</v>
      </c>
      <c r="B37" s="32">
        <f>SUMIF(Mensual!$B$2:$B$61,1,Mensual!$X$2:$X$61)</f>
        <v>6000</v>
      </c>
      <c r="C37" s="32">
        <f>SUMIF(Mensual!$B$2:$B$61,2,Mensual!$X$2:$X$61)</f>
        <v>0</v>
      </c>
      <c r="D37" s="32">
        <f>SUMIF(Mensual!$B$2:$B$61,3,Mensual!$X$2:$X$61)</f>
        <v>6000</v>
      </c>
      <c r="E37" s="32">
        <f>SUMIF(Mensual!$B$2:$B$61,4,Mensual!$X$2:$X$61)</f>
        <v>0</v>
      </c>
      <c r="F37" s="32">
        <f>SUMIF(Mensual!$B$2:$B$61,5,Mensual!$X$2:$X$61)</f>
        <v>0</v>
      </c>
      <c r="G37" s="33">
        <f t="shared" si="14"/>
        <v>12000</v>
      </c>
    </row>
    <row r="38" spans="1:7" ht="15" customHeight="1" x14ac:dyDescent="0.35">
      <c r="A38" s="3" t="s">
        <v>206</v>
      </c>
      <c r="B38" s="32">
        <f>SUMIF(Mensual!$B$2:$B$61,1,Mensual!$AE$2:$AE$61)</f>
        <v>0</v>
      </c>
      <c r="C38" s="32">
        <f>SUMIF(Mensual!$B$2:$B$61,2,Mensual!$AE$2:$AE$61)</f>
        <v>0</v>
      </c>
      <c r="D38" s="32">
        <f>SUMIF(Mensual!$B$2:$B$61,3,Mensual!$AE$2:$AE$61)</f>
        <v>0</v>
      </c>
      <c r="E38" s="32">
        <f>SUMIF(Mensual!$B$2:$B$61,4,Mensual!$AE$2:$AE$61)</f>
        <v>0</v>
      </c>
      <c r="F38" s="32">
        <f>SUMIF(Mensual!$B$2:$B$61,5,Mensual!$AE$2:$AE$61)</f>
        <v>0</v>
      </c>
      <c r="G38" s="33">
        <f t="shared" si="14"/>
        <v>0</v>
      </c>
    </row>
    <row r="39" spans="1:7" ht="15" customHeight="1" x14ac:dyDescent="0.35">
      <c r="A39" s="2" t="s">
        <v>207</v>
      </c>
      <c r="B39" s="33">
        <f t="shared" ref="B39:F39" si="15">B36-B37-B38</f>
        <v>-56208.092001896584</v>
      </c>
      <c r="C39" s="33">
        <f t="shared" si="15"/>
        <v>-104061.69268401359</v>
      </c>
      <c r="D39" s="33">
        <f t="shared" si="15"/>
        <v>-7719.6089371301896</v>
      </c>
      <c r="E39" s="33">
        <f t="shared" si="15"/>
        <v>102419.93730828766</v>
      </c>
      <c r="F39" s="33">
        <f t="shared" si="15"/>
        <v>280116.18800130393</v>
      </c>
      <c r="G39" s="33">
        <f t="shared" si="14"/>
        <v>214546.73168655124</v>
      </c>
    </row>
    <row r="40" spans="1:7" ht="15" customHeight="1" x14ac:dyDescent="0.35">
      <c r="A40" s="3" t="s">
        <v>208</v>
      </c>
      <c r="B40" s="26">
        <f>B39</f>
        <v>-56208.092001896584</v>
      </c>
      <c r="C40" s="26">
        <f t="shared" ref="C40:F40" si="16">B40+C39</f>
        <v>-160269.78468591016</v>
      </c>
      <c r="D40" s="26">
        <f t="shared" si="16"/>
        <v>-167989.39362304035</v>
      </c>
      <c r="E40" s="26">
        <f t="shared" si="16"/>
        <v>-65569.456314752693</v>
      </c>
      <c r="F40" s="26">
        <f t="shared" si="16"/>
        <v>214546.73168655124</v>
      </c>
      <c r="G40" s="4"/>
    </row>
    <row r="41" spans="1:7" ht="15" customHeight="1" x14ac:dyDescent="0.35">
      <c r="A41" s="3" t="s">
        <v>209</v>
      </c>
      <c r="B41" s="26">
        <f>SUMIF(Mensual!$B$2:$B$61,1,Mensual!$AA$2:$AA$61)+SUMIF(Mensual!$B$2:$B$61,1,Mensual!$AC$2:$AC$61)</f>
        <v>1000</v>
      </c>
      <c r="C41" s="26">
        <f>SUMIF(Mensual!$B$2:$B$61,2,Mensual!$AA$2:$AA$61)+SUMIF(Mensual!$B$2:$B$61,2,Mensual!$AC$2:$AC$61)</f>
        <v>1200</v>
      </c>
      <c r="D41" s="26">
        <f>SUMIF(Mensual!$B$2:$B$61,3,Mensual!$AA$2:$AA$61)+SUMIF(Mensual!$B$2:$B$61,3,Mensual!$AC$2:$AC$61)</f>
        <v>1200</v>
      </c>
      <c r="E41" s="26">
        <f>SUMIF(Mensual!$B$2:$B$61,4,Mensual!$AA$2:$AA$61)+SUMIF(Mensual!$B$2:$B$61,4,Mensual!$AC$2:$AC$61)</f>
        <v>14720.833333333334</v>
      </c>
      <c r="F41" s="26">
        <f>SUMIF(Mensual!$B$2:$B$61,5,Mensual!$AA$2:$AA$61)+SUMIF(Mensual!$B$2:$B$61,5,Mensual!$AC$2:$AC$61)</f>
        <v>15375</v>
      </c>
      <c r="G41" s="33">
        <f t="shared" ref="G41:G42" si="17">SUM(B41:F41)</f>
        <v>33495.833333333336</v>
      </c>
    </row>
    <row r="42" spans="1:7" ht="15" customHeight="1" x14ac:dyDescent="0.35">
      <c r="A42" s="3" t="s">
        <v>62</v>
      </c>
      <c r="B42" s="32">
        <f>SUMIF(Mensual!$B$2:$B$61,1,Mensual!$AD$2:$AD$61)</f>
        <v>235000</v>
      </c>
      <c r="C42" s="32">
        <f>SUMIF(Mensual!$B$2:$B$61,2,Mensual!$AD$2:$AD$61)</f>
        <v>0</v>
      </c>
      <c r="D42" s="32">
        <f>SUMIF(Mensual!$B$2:$B$61,3,Mensual!$AD$2:$AD$61)</f>
        <v>0</v>
      </c>
      <c r="E42" s="32">
        <f>SUMIF(Mensual!$B$2:$B$61,4,Mensual!$AD$2:$AD$61)</f>
        <v>0</v>
      </c>
      <c r="F42" s="32">
        <f>SUMIF(Mensual!$B$2:$B$61,5,Mensual!$AD$2:$AD$61)</f>
        <v>0</v>
      </c>
      <c r="G42" s="33">
        <f t="shared" si="17"/>
        <v>235000</v>
      </c>
    </row>
    <row r="43" spans="1:7" ht="15" customHeight="1" x14ac:dyDescent="0.35">
      <c r="A43" s="3" t="s">
        <v>210</v>
      </c>
      <c r="B43" s="32">
        <f t="array" ref="B43">INDEX(Mensual!$AF$2:$AF$61,12)</f>
        <v>177791.90799810339</v>
      </c>
      <c r="C43" s="32">
        <f t="array" ref="C43">INDEX(Mensual!$AF$2:$AF$61,24)</f>
        <v>72530.215314089815</v>
      </c>
      <c r="D43" s="32">
        <f t="array" ref="D43">INDEX(Mensual!$AF$2:$AF$61,36)</f>
        <v>63610.606376959651</v>
      </c>
      <c r="E43" s="32">
        <f t="array" ref="E43">INDEX(Mensual!$AF$2:$AF$61,48)</f>
        <v>151309.71035191396</v>
      </c>
      <c r="F43" s="32">
        <f t="array" ref="F43">INDEX(Mensual!$AF$2:$AF$61,60)</f>
        <v>416050.89835321781</v>
      </c>
      <c r="G43" s="4"/>
    </row>
    <row r="44" spans="1:7" ht="15" customHeight="1" x14ac:dyDescent="0.35">
      <c r="A44" s="3" t="s">
        <v>211</v>
      </c>
      <c r="B44" s="26">
        <f t="array" ref="B44">MIN(INDEX(Mensual!$AF$2:$AF$61,1):INDEX(Mensual!$AF$2:$AF$61,12))</f>
        <v>16860</v>
      </c>
      <c r="C44" s="26">
        <f t="array" ref="C44">MIN(INDEX(Mensual!$AF$2:$AF$61,13):INDEX(Mensual!$AF$2:$AF$61,24))</f>
        <v>72530.215314089815</v>
      </c>
      <c r="D44" s="26">
        <f t="array" ref="D44">MIN(INDEX(Mensual!$AF$2:$AF$61,25):INDEX(Mensual!$AF$2:$AF$61,36))</f>
        <v>52892.246335523516</v>
      </c>
      <c r="E44" s="26">
        <f t="array" ref="E44">MIN(INDEX(Mensual!$AF$2:$AF$61,37):INDEX(Mensual!$AF$2:$AF$61,48))</f>
        <v>62114.412442873181</v>
      </c>
      <c r="F44" s="26">
        <f t="array" ref="F44">MIN(INDEX(Mensual!$AF$2:$AF$61,49):INDEX(Mensual!$AF$2:$AF$61,60))</f>
        <v>164541.59685242988</v>
      </c>
      <c r="G44" s="4"/>
    </row>
    <row r="45" spans="1:7" ht="15" customHeight="1" x14ac:dyDescent="0.35">
      <c r="A45" s="7" t="s">
        <v>212</v>
      </c>
      <c r="B45" s="29"/>
      <c r="C45" s="29"/>
      <c r="D45" s="29"/>
      <c r="E45" s="29"/>
      <c r="F45" s="29"/>
      <c r="G45" s="29"/>
    </row>
    <row r="46" spans="1:7" ht="15" customHeight="1" x14ac:dyDescent="0.35">
      <c r="A46" s="3" t="s">
        <v>213</v>
      </c>
      <c r="B46" s="26">
        <f t="array" ref="B46">SUMIF(Supuestos!$B$45:$B$47,"&lt;="&amp;12,Supuestos!$C$45:$C$47)-SUM(Mensual!$Y$2:INDEX(Mensual!$Y$2:$Y$61,12))</f>
        <v>4000</v>
      </c>
      <c r="C46" s="26">
        <f t="array" ref="C46">SUMIF(Supuestos!$B$45:$B$47,"&lt;="&amp;24,Supuestos!$C$45:$C$47)-SUM(Mensual!$Y$2:INDEX(Mensual!$Y$2:$Y$61,24))</f>
        <v>2000.0000000000014</v>
      </c>
      <c r="D46" s="26">
        <f t="array" ref="D46">SUMIF(Supuestos!$B$45:$B$47,"&lt;="&amp;36,Supuestos!$C$45:$C$47)-SUM(Mensual!$Y$2:INDEX(Mensual!$Y$2:$Y$61,36))</f>
        <v>5833.3333333333321</v>
      </c>
      <c r="E46" s="26">
        <f t="array" ref="E46">SUMIF(Supuestos!$B$45:$B$47,"&lt;="&amp;48,Supuestos!$C$45:$C$47)-SUM(Mensual!$Y$2:INDEX(Mensual!$Y$2:$Y$61,48))</f>
        <v>3833.3333333333285</v>
      </c>
      <c r="F46" s="26">
        <f t="array" ref="F46">SUMIF(Supuestos!$B$45:$B$47,"&lt;="&amp;60,Supuestos!$C$45:$C$47)-SUM(Mensual!$Y$2:INDEX(Mensual!$Y$2:$Y$61,60))</f>
        <v>1833.3333333333358</v>
      </c>
      <c r="G46" s="4"/>
    </row>
    <row r="47" spans="1:7" ht="15" customHeight="1" x14ac:dyDescent="0.35">
      <c r="A47" s="3" t="s">
        <v>221</v>
      </c>
      <c r="B47" s="26">
        <f t="shared" ref="B47:F47" si="18">B43</f>
        <v>177791.90799810339</v>
      </c>
      <c r="C47" s="26">
        <f t="shared" si="18"/>
        <v>72530.215314089815</v>
      </c>
      <c r="D47" s="26">
        <f t="shared" si="18"/>
        <v>63610.606376959651</v>
      </c>
      <c r="E47" s="26">
        <f t="shared" si="18"/>
        <v>151309.71035191396</v>
      </c>
      <c r="F47" s="26">
        <f t="shared" si="18"/>
        <v>416050.89835321781</v>
      </c>
      <c r="G47" s="4"/>
    </row>
    <row r="48" spans="1:7" ht="15" customHeight="1" x14ac:dyDescent="0.35">
      <c r="A48" s="2" t="s">
        <v>224</v>
      </c>
      <c r="B48" s="33">
        <f t="shared" ref="B48:F48" si="19">B46+B47</f>
        <v>181791.90799810339</v>
      </c>
      <c r="C48" s="33">
        <f t="shared" si="19"/>
        <v>74530.215314089815</v>
      </c>
      <c r="D48" s="33">
        <f t="shared" si="19"/>
        <v>69443.93971029298</v>
      </c>
      <c r="E48" s="33">
        <f t="shared" si="19"/>
        <v>155143.04368524731</v>
      </c>
      <c r="F48" s="33">
        <f t="shared" si="19"/>
        <v>417884.23168655112</v>
      </c>
      <c r="G48" s="2"/>
    </row>
    <row r="49" spans="1:26" ht="15" customHeight="1" x14ac:dyDescent="0.35">
      <c r="A49" s="3" t="s">
        <v>227</v>
      </c>
      <c r="B49" s="26">
        <f>Supuestos!$B$50+IF(Supuestos!$B$57&lt;=12,Supuestos!$B$56,0)</f>
        <v>205000</v>
      </c>
      <c r="C49" s="26">
        <f>Supuestos!$B$50+IF(Supuestos!$B$57&lt;=24,Supuestos!$B$56,0)</f>
        <v>205000</v>
      </c>
      <c r="D49" s="26">
        <f>Supuestos!$B$50+IF(Supuestos!$B$57&lt;=36,Supuestos!$B$56,0)</f>
        <v>205000</v>
      </c>
      <c r="E49" s="26">
        <f>Supuestos!$B$50+IF(Supuestos!$B$57&lt;=48,Supuestos!$B$56,0)</f>
        <v>205000</v>
      </c>
      <c r="F49" s="26">
        <f>Supuestos!$B$50+IF(Supuestos!$B$57&lt;=60,Supuestos!$B$56,0)</f>
        <v>205000</v>
      </c>
      <c r="G49" s="4"/>
    </row>
    <row r="50" spans="1:26" ht="15" customHeight="1" x14ac:dyDescent="0.35">
      <c r="A50" s="3" t="s">
        <v>234</v>
      </c>
      <c r="B50" s="26">
        <f t="shared" ref="B50:F50" si="20">SUM($B$33:B33)</f>
        <v>-53208.092001896584</v>
      </c>
      <c r="C50" s="26">
        <f t="shared" si="20"/>
        <v>-160469.78468591016</v>
      </c>
      <c r="D50" s="26">
        <f t="shared" si="20"/>
        <v>-165556.06028970701</v>
      </c>
      <c r="E50" s="26">
        <f t="shared" si="20"/>
        <v>-66106.956314752693</v>
      </c>
      <c r="F50" s="26">
        <f t="shared" si="20"/>
        <v>179889.09693356851</v>
      </c>
      <c r="G50" s="4"/>
    </row>
    <row r="51" spans="1:26" ht="15" customHeight="1" x14ac:dyDescent="0.35">
      <c r="A51" s="3" t="s">
        <v>235</v>
      </c>
      <c r="B51" s="26">
        <f t="shared" ref="B51:F51" si="21">B49+B50</f>
        <v>151791.90799810342</v>
      </c>
      <c r="C51" s="26">
        <f t="shared" si="21"/>
        <v>44530.215314089844</v>
      </c>
      <c r="D51" s="26">
        <f t="shared" si="21"/>
        <v>39443.939710292994</v>
      </c>
      <c r="E51" s="26">
        <f t="shared" si="21"/>
        <v>138893.04368524731</v>
      </c>
      <c r="F51" s="26">
        <f t="shared" si="21"/>
        <v>384889.09693356848</v>
      </c>
      <c r="G51" s="4"/>
    </row>
    <row r="52" spans="1:26" ht="15" customHeight="1" x14ac:dyDescent="0.35">
      <c r="A52" s="3" t="s">
        <v>164</v>
      </c>
      <c r="B52" s="26">
        <f t="array" ref="B52">IF(Supuestos!$B$52&lt;=12,Supuestos!$B$51,0)-SUM(Mensual!$AC$2:INDEX(Mensual!$AC$2:$AC$61,12))</f>
        <v>30000</v>
      </c>
      <c r="C52" s="26">
        <f t="array" ref="C52">IF(Supuestos!$B$52&lt;=24,Supuestos!$B$51,0)-SUM(Mensual!$AC$2:INDEX(Mensual!$AC$2:$AC$61,24))</f>
        <v>30000</v>
      </c>
      <c r="D52" s="26">
        <f t="array" ref="D52">IF(Supuestos!$B$52&lt;=36,Supuestos!$B$51,0)-SUM(Mensual!$AC$2:INDEX(Mensual!$AC$2:$AC$61,36))</f>
        <v>30000</v>
      </c>
      <c r="E52" s="26">
        <f t="array" ref="E52">IF(Supuestos!$B$52&lt;=48,Supuestos!$B$51,0)-SUM(Mensual!$AC$2:INDEX(Mensual!$AC$2:$AC$61,48))</f>
        <v>16250</v>
      </c>
      <c r="F52" s="26">
        <f t="array" ref="F52">IF(Supuestos!$B$52&lt;=60,Supuestos!$B$51,0)-SUM(Mensual!$AC$2:INDEX(Mensual!$AC$2:$AC$61,60))</f>
        <v>1250</v>
      </c>
      <c r="G52" s="4"/>
    </row>
    <row r="53" spans="1:26" ht="15" customHeight="1" x14ac:dyDescent="0.35">
      <c r="A53" s="3" t="s">
        <v>247</v>
      </c>
      <c r="B53" s="26">
        <f t="shared" ref="B53:F53" si="22">SUM($B$32:B32)-SUM($B$38:B38)</f>
        <v>0</v>
      </c>
      <c r="C53" s="26">
        <f t="shared" si="22"/>
        <v>0</v>
      </c>
      <c r="D53" s="26">
        <f t="shared" si="22"/>
        <v>0</v>
      </c>
      <c r="E53" s="26">
        <f t="shared" si="22"/>
        <v>0</v>
      </c>
      <c r="F53" s="26">
        <f t="shared" si="22"/>
        <v>31745.134752982674</v>
      </c>
      <c r="G53" s="4"/>
    </row>
    <row r="54" spans="1:26" ht="15" customHeight="1" x14ac:dyDescent="0.35">
      <c r="A54" s="2" t="s">
        <v>252</v>
      </c>
      <c r="B54" s="33">
        <f t="shared" ref="B54:F54" si="23">B51+B52+B53</f>
        <v>181791.90799810342</v>
      </c>
      <c r="C54" s="33">
        <f t="shared" si="23"/>
        <v>74530.215314089844</v>
      </c>
      <c r="D54" s="33">
        <f t="shared" si="23"/>
        <v>69443.939710292994</v>
      </c>
      <c r="E54" s="33">
        <f t="shared" si="23"/>
        <v>155143.04368524731</v>
      </c>
      <c r="F54" s="33">
        <f t="shared" si="23"/>
        <v>417884.23168655112</v>
      </c>
      <c r="G54" s="2"/>
    </row>
    <row r="55" spans="1:26" ht="15" customHeight="1" x14ac:dyDescent="0.35">
      <c r="A55" s="3" t="s">
        <v>256</v>
      </c>
      <c r="B55" s="26">
        <f t="shared" ref="B55:F55" si="24">ROUND(B48-B54,2)</f>
        <v>0</v>
      </c>
      <c r="C55" s="26">
        <f t="shared" si="24"/>
        <v>0</v>
      </c>
      <c r="D55" s="26">
        <f t="shared" si="24"/>
        <v>0</v>
      </c>
      <c r="E55" s="26">
        <f t="shared" si="24"/>
        <v>0</v>
      </c>
      <c r="F55" s="26">
        <f t="shared" si="24"/>
        <v>0</v>
      </c>
      <c r="G55" s="4"/>
    </row>
    <row r="56" spans="1:26" ht="15" customHeight="1" x14ac:dyDescent="0.35">
      <c r="A56" s="7" t="s">
        <v>259</v>
      </c>
      <c r="B56" s="29"/>
      <c r="C56" s="29"/>
      <c r="D56" s="29"/>
      <c r="E56" s="29"/>
      <c r="F56" s="29"/>
      <c r="G56" s="29"/>
    </row>
    <row r="57" spans="1:26" ht="15" customHeight="1" x14ac:dyDescent="0.35">
      <c r="A57" s="3" t="s">
        <v>260</v>
      </c>
      <c r="B57" s="26">
        <f>IF(SUMIF(Mensual!$B$2:$B$61,1,Mensual!$E$2:$E$61)=0,0,B10/SUMIF(Mensual!$B$2:$B$61,1,Mensual!$E$2:$E$61))</f>
        <v>192.4</v>
      </c>
      <c r="C57" s="26">
        <f>IF(SUMIF(Mensual!$B$2:$B$61,2,Mensual!$E$2:$E$61)=0,0,C10/SUMIF(Mensual!$B$2:$B$61,2,Mensual!$E$2:$E$61))</f>
        <v>276.48</v>
      </c>
      <c r="D57" s="26">
        <f>IF(SUMIF(Mensual!$B$2:$B$61,3,Mensual!$E$2:$E$61)=0,0,D10/SUMIF(Mensual!$B$2:$B$61,3,Mensual!$E$2:$E$61))</f>
        <v>329.18400000000003</v>
      </c>
      <c r="E57" s="26">
        <f>IF(SUMIF(Mensual!$B$2:$B$61,4,Mensual!$E$2:$E$61)=0,0,E10/SUMIF(Mensual!$B$2:$B$61,4,Mensual!$E$2:$E$61))</f>
        <v>364.23000000000013</v>
      </c>
      <c r="F57" s="26">
        <f>IF(SUMIF(Mensual!$B$2:$B$61,5,Mensual!$E$2:$E$61)=0,0,F10/SUMIF(Mensual!$B$2:$B$61,5,Mensual!$E$2:$E$61))</f>
        <v>376.2000000000001</v>
      </c>
      <c r="G57" s="4"/>
    </row>
    <row r="58" spans="1:26" ht="15" customHeight="1" x14ac:dyDescent="0.35">
      <c r="A58" s="3" t="s">
        <v>278</v>
      </c>
      <c r="B58" s="35">
        <f>IF(B13=0,0,1-(B16+SUMIF(Mensual!$B$2:$B$61,1,Mensual!$AJ$2:$AJ$61))/B13)</f>
        <v>0.83081764032354199</v>
      </c>
      <c r="C58" s="35">
        <f>IF(C13=0,0,1-(C16+SUMIF(Mensual!$B$2:$B$61,2,Mensual!$AJ$2:$AJ$61))/C13)</f>
        <v>0.69364226331207457</v>
      </c>
      <c r="D58" s="35">
        <f>IF(D13=0,0,1-(D16+SUMIF(Mensual!$B$2:$B$61,3,Mensual!$AJ$2:$AJ$61))/D13)</f>
        <v>0.79406962745511778</v>
      </c>
      <c r="E58" s="35">
        <f>IF(E13=0,0,1-(E16+SUMIF(Mensual!$B$2:$B$61,4,Mensual!$AJ$2:$AJ$61))/E13)</f>
        <v>0.81298499236492283</v>
      </c>
      <c r="F58" s="35">
        <f>IF(F13=0,0,1-(F16+SUMIF(Mensual!$B$2:$B$61,5,Mensual!$AJ$2:$AJ$61))/F13)</f>
        <v>0.83400218370811074</v>
      </c>
      <c r="G58" s="4"/>
    </row>
    <row r="59" spans="1:26" ht="15" customHeight="1" x14ac:dyDescent="0.35">
      <c r="A59" s="3" t="s">
        <v>279</v>
      </c>
      <c r="B59" s="26">
        <f>IF(SUMIF(Mensual!$B$2:$B$61,1,Mensual!$C$2:$C$61)=0,0,(B15+SUMIF(Mensual!$B$2:$B$61,1,Mensual!$AI$2:$AI$61))/SUMIF(Mensual!$B$2:$B$61,1,Mensual!$C$2:$C$61))</f>
        <v>1763</v>
      </c>
      <c r="C59" s="26">
        <f>IF(SUMIF(Mensual!$B$2:$B$61,2,Mensual!$C$2:$C$61)=0,0,(C15+SUMIF(Mensual!$B$2:$B$61,2,Mensual!$AI$2:$AI$61))/SUMIF(Mensual!$B$2:$B$61,2,Mensual!$C$2:$C$61))</f>
        <v>1775.0000000000002</v>
      </c>
      <c r="D59" s="26">
        <f>IF(SUMIF(Mensual!$B$2:$B$61,3,Mensual!$C$2:$C$61)=0,0,(D15+SUMIF(Mensual!$B$2:$B$61,3,Mensual!$AI$2:$AI$61))/SUMIF(Mensual!$B$2:$B$61,3,Mensual!$C$2:$C$61))</f>
        <v>1572.8927254990033</v>
      </c>
      <c r="E59" s="26">
        <f>IF(SUMIF(Mensual!$B$2:$B$61,4,Mensual!$C$2:$C$61)=0,0,(E15+SUMIF(Mensual!$B$2:$B$61,4,Mensual!$AI$2:$AI$61))/SUMIF(Mensual!$B$2:$B$61,4,Mensual!$C$2:$C$61))</f>
        <v>1938.454571880349</v>
      </c>
      <c r="F59" s="26">
        <f>IF(SUMIF(Mensual!$B$2:$B$61,5,Mensual!$C$2:$C$61)=0,0,(F15+SUMIF(Mensual!$B$2:$B$61,5,Mensual!$AI$2:$AI$61))/SUMIF(Mensual!$B$2:$B$61,5,Mensual!$C$2:$C$61))</f>
        <v>2208.6892530815403</v>
      </c>
      <c r="G59" s="4"/>
    </row>
    <row r="60" spans="1:26" ht="15" customHeight="1" x14ac:dyDescent="0.35">
      <c r="A60" s="3" t="s">
        <v>280</v>
      </c>
      <c r="B60" s="26">
        <f>B57*B58/Supuestos!$B$7</f>
        <v>7992.4656999124736</v>
      </c>
      <c r="C60" s="26">
        <f>C57*C58/Supuestos!$B$7</f>
        <v>9588.910648026118</v>
      </c>
      <c r="D60" s="26">
        <f>D57*D58/Supuestos!$B$7</f>
        <v>13069.750812209275</v>
      </c>
      <c r="E60" s="26">
        <f>E57*E58/Supuestos!$B$7</f>
        <v>14805.676188453795</v>
      </c>
      <c r="F60" s="26">
        <f>F57*F58/Supuestos!$B$7</f>
        <v>15687.581075549568</v>
      </c>
      <c r="G60" s="4"/>
    </row>
    <row r="61" spans="1:26" ht="15" customHeight="1" x14ac:dyDescent="0.35">
      <c r="A61" s="3" t="s">
        <v>281</v>
      </c>
      <c r="B61" s="45">
        <f t="shared" ref="B61:F61" si="25">IF(B59=0,0,B60/B59)</f>
        <v>4.5334462279707735</v>
      </c>
      <c r="C61" s="45">
        <f t="shared" si="25"/>
        <v>5.402203181986545</v>
      </c>
      <c r="D61" s="45">
        <f t="shared" si="25"/>
        <v>8.3093720253953567</v>
      </c>
      <c r="E61" s="45">
        <f t="shared" si="25"/>
        <v>7.6378762769209096</v>
      </c>
      <c r="F61" s="45">
        <f t="shared" si="25"/>
        <v>7.102665553183825</v>
      </c>
      <c r="G61" s="4"/>
    </row>
    <row r="62" spans="1:26" ht="15" customHeight="1" x14ac:dyDescent="0.35">
      <c r="A62" s="3" t="s">
        <v>282</v>
      </c>
      <c r="B62" s="35">
        <f t="shared" ref="B62:F62" si="26">IF(B51&lt;=0,0,B33/B51)</f>
        <v>-0.35053312593291469</v>
      </c>
      <c r="C62" s="35">
        <f t="shared" si="26"/>
        <v>-2.4087395923745918</v>
      </c>
      <c r="D62" s="35">
        <f t="shared" si="26"/>
        <v>-0.12894948225644878</v>
      </c>
      <c r="E62" s="35">
        <f t="shared" si="26"/>
        <v>0.7160121294506373</v>
      </c>
      <c r="F62" s="35">
        <f t="shared" si="26"/>
        <v>0.63913489680062285</v>
      </c>
      <c r="G62" s="4"/>
    </row>
    <row r="63" spans="1:26" ht="15" customHeight="1" x14ac:dyDescent="0.35">
      <c r="A63" s="3" t="s">
        <v>283</v>
      </c>
      <c r="B63" s="35">
        <f t="shared" ref="B63:F63" si="27">IF(B48&lt;=0,0,B33/B48)</f>
        <v>-0.29268680101235145</v>
      </c>
      <c r="C63" s="35">
        <f t="shared" si="27"/>
        <v>-1.4391705730620092</v>
      </c>
      <c r="D63" s="35">
        <f t="shared" si="27"/>
        <v>-7.3242901036661298E-2</v>
      </c>
      <c r="E63" s="35">
        <f t="shared" si="27"/>
        <v>0.64101555321239978</v>
      </c>
      <c r="F63" s="35">
        <f t="shared" si="27"/>
        <v>0.58867034119832318</v>
      </c>
      <c r="G63" s="4"/>
    </row>
    <row r="64" spans="1:26" ht="15.75" customHeight="1" x14ac:dyDescent="0.35">
      <c r="A64" s="3" t="s">
        <v>284</v>
      </c>
      <c r="B64" s="3"/>
      <c r="C64" s="46">
        <f t="shared" ref="C64:F64" si="28">(C13-B13)/B13</f>
        <v>9.4566884274415219</v>
      </c>
      <c r="D64" s="46">
        <f t="shared" si="28"/>
        <v>1.7430324516929785</v>
      </c>
      <c r="E64" s="46">
        <f t="shared" si="28"/>
        <v>0.89970831901931736</v>
      </c>
      <c r="F64" s="46">
        <f t="shared" si="28"/>
        <v>0.49176980347648874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5">
      <c r="A65" s="3"/>
      <c r="B65" s="3"/>
      <c r="C65" s="46"/>
      <c r="D65" s="3"/>
      <c r="E65" s="3"/>
      <c r="F65" s="3"/>
      <c r="G65" s="3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5.75" customHeight="1" x14ac:dyDescent="0.35">
      <c r="A66" s="4"/>
      <c r="B66" s="4"/>
      <c r="C66" s="4"/>
      <c r="D66" s="4"/>
      <c r="E66" s="4"/>
      <c r="F66" s="4"/>
      <c r="G66" s="4"/>
    </row>
    <row r="67" spans="1:26" ht="15.75" customHeight="1" x14ac:dyDescent="0.35">
      <c r="A67" s="4"/>
      <c r="B67" s="4"/>
      <c r="C67" s="4"/>
      <c r="D67" s="4"/>
      <c r="E67" s="4"/>
      <c r="F67" s="4"/>
      <c r="G67" s="4"/>
    </row>
    <row r="68" spans="1:26" ht="15.75" customHeight="1" x14ac:dyDescent="0.35">
      <c r="A68" s="4"/>
      <c r="B68" s="4"/>
      <c r="C68" s="4"/>
      <c r="D68" s="4"/>
      <c r="E68" s="4"/>
      <c r="F68" s="4"/>
      <c r="G68" s="4"/>
    </row>
    <row r="69" spans="1:26" ht="15.75" customHeight="1" x14ac:dyDescent="0.35">
      <c r="A69" s="4"/>
      <c r="B69" s="4"/>
      <c r="C69" s="4"/>
      <c r="D69" s="4"/>
      <c r="E69" s="4"/>
      <c r="F69" s="4"/>
      <c r="G69" s="4"/>
    </row>
    <row r="70" spans="1:26" ht="15.75" customHeight="1" x14ac:dyDescent="0.35">
      <c r="A70" s="4"/>
      <c r="B70" s="4"/>
      <c r="C70" s="4"/>
      <c r="D70" s="4"/>
      <c r="E70" s="4"/>
      <c r="F70" s="4"/>
      <c r="G70" s="4"/>
    </row>
    <row r="71" spans="1:26" ht="15.75" customHeight="1" x14ac:dyDescent="0.35">
      <c r="A71" s="4"/>
      <c r="B71" s="4"/>
      <c r="C71" s="4"/>
      <c r="D71" s="4"/>
      <c r="E71" s="4"/>
      <c r="F71" s="4"/>
      <c r="G71" s="4"/>
    </row>
    <row r="72" spans="1:26" ht="15.75" customHeight="1" x14ac:dyDescent="0.35">
      <c r="A72" s="4"/>
      <c r="B72" s="4"/>
      <c r="C72" s="4"/>
      <c r="D72" s="4"/>
      <c r="E72" s="4"/>
      <c r="F72" s="4"/>
      <c r="G72" s="4"/>
    </row>
    <row r="73" spans="1:26" ht="15.75" customHeight="1" x14ac:dyDescent="0.35">
      <c r="A73" s="4"/>
      <c r="B73" s="4"/>
      <c r="C73" s="4"/>
      <c r="D73" s="4"/>
      <c r="E73" s="4"/>
      <c r="F73" s="4"/>
      <c r="G73" s="4"/>
    </row>
    <row r="74" spans="1:26" ht="15.75" customHeight="1" x14ac:dyDescent="0.35">
      <c r="A74" s="4"/>
      <c r="B74" s="4"/>
      <c r="C74" s="4"/>
      <c r="D74" s="4"/>
      <c r="E74" s="4"/>
      <c r="F74" s="4"/>
      <c r="G74" s="4"/>
    </row>
    <row r="75" spans="1:26" ht="15.75" customHeight="1" x14ac:dyDescent="0.35">
      <c r="A75" s="4"/>
      <c r="B75" s="4"/>
      <c r="C75" s="4"/>
      <c r="D75" s="4"/>
      <c r="E75" s="4"/>
      <c r="F75" s="4"/>
      <c r="G75" s="4"/>
    </row>
    <row r="76" spans="1:26" ht="15.75" customHeight="1" x14ac:dyDescent="0.35">
      <c r="A76" s="4"/>
      <c r="B76" s="4"/>
      <c r="C76" s="4"/>
      <c r="D76" s="4"/>
      <c r="E76" s="4"/>
      <c r="F76" s="4"/>
      <c r="G76" s="4"/>
    </row>
    <row r="77" spans="1:26" ht="15.75" customHeight="1" x14ac:dyDescent="0.35">
      <c r="A77" s="4"/>
      <c r="B77" s="4"/>
      <c r="C77" s="4"/>
      <c r="D77" s="4"/>
      <c r="E77" s="4"/>
      <c r="F77" s="4"/>
      <c r="G77" s="4"/>
    </row>
    <row r="78" spans="1:26" ht="15.75" customHeight="1" x14ac:dyDescent="0.35">
      <c r="A78" s="4"/>
      <c r="B78" s="4"/>
      <c r="C78" s="4"/>
      <c r="D78" s="4"/>
      <c r="E78" s="4"/>
      <c r="F78" s="4"/>
      <c r="G78" s="4"/>
    </row>
    <row r="79" spans="1:26" ht="15.75" customHeight="1" x14ac:dyDescent="0.35">
      <c r="A79" s="4"/>
      <c r="B79" s="4"/>
      <c r="C79" s="4"/>
      <c r="D79" s="4"/>
      <c r="E79" s="4"/>
      <c r="F79" s="4"/>
      <c r="G79" s="4"/>
    </row>
    <row r="80" spans="1:26" ht="15.75" customHeight="1" x14ac:dyDescent="0.35">
      <c r="A80" s="4"/>
      <c r="B80" s="4"/>
      <c r="C80" s="4"/>
      <c r="D80" s="4"/>
      <c r="E80" s="4"/>
      <c r="F80" s="4"/>
      <c r="G80" s="4"/>
    </row>
    <row r="81" spans="1:7" ht="15.75" customHeight="1" x14ac:dyDescent="0.35">
      <c r="A81" s="4"/>
      <c r="B81" s="4"/>
      <c r="C81" s="4"/>
      <c r="D81" s="4"/>
      <c r="E81" s="4"/>
      <c r="F81" s="4"/>
      <c r="G81" s="4"/>
    </row>
    <row r="82" spans="1:7" ht="15.75" customHeight="1" x14ac:dyDescent="0.35">
      <c r="A82" s="4"/>
      <c r="B82" s="4"/>
      <c r="C82" s="4"/>
      <c r="D82" s="4"/>
      <c r="E82" s="4"/>
      <c r="F82" s="4"/>
      <c r="G82" s="4"/>
    </row>
    <row r="83" spans="1:7" ht="15.75" customHeight="1" x14ac:dyDescent="0.35">
      <c r="A83" s="4"/>
      <c r="B83" s="4"/>
      <c r="C83" s="4"/>
      <c r="D83" s="4"/>
      <c r="E83" s="4"/>
      <c r="F83" s="4"/>
      <c r="G83" s="4"/>
    </row>
    <row r="84" spans="1:7" ht="15.75" customHeight="1" x14ac:dyDescent="0.35">
      <c r="A84" s="4"/>
      <c r="B84" s="4"/>
      <c r="C84" s="4"/>
      <c r="D84" s="4"/>
      <c r="E84" s="4"/>
      <c r="F84" s="4"/>
      <c r="G84" s="4"/>
    </row>
    <row r="85" spans="1:7" ht="15.75" customHeight="1" x14ac:dyDescent="0.35">
      <c r="A85" s="4"/>
      <c r="B85" s="4"/>
      <c r="C85" s="4"/>
      <c r="D85" s="4"/>
      <c r="E85" s="4"/>
      <c r="F85" s="4"/>
      <c r="G85" s="4"/>
    </row>
    <row r="86" spans="1:7" ht="15.75" customHeight="1" x14ac:dyDescent="0.35">
      <c r="A86" s="4"/>
      <c r="B86" s="4"/>
      <c r="C86" s="4"/>
      <c r="D86" s="4"/>
      <c r="E86" s="4"/>
      <c r="F86" s="4"/>
      <c r="G86" s="4"/>
    </row>
    <row r="87" spans="1:7" ht="15.75" customHeight="1" x14ac:dyDescent="0.35">
      <c r="A87" s="4"/>
      <c r="B87" s="4"/>
      <c r="C87" s="4"/>
      <c r="D87" s="4"/>
      <c r="E87" s="4"/>
      <c r="F87" s="4"/>
      <c r="G87" s="4"/>
    </row>
    <row r="88" spans="1:7" ht="15.75" customHeight="1" x14ac:dyDescent="0.35">
      <c r="A88" s="4"/>
      <c r="B88" s="4"/>
      <c r="C88" s="4"/>
      <c r="D88" s="4"/>
      <c r="E88" s="4"/>
      <c r="F88" s="4"/>
      <c r="G88" s="4"/>
    </row>
    <row r="89" spans="1:7" ht="15.75" customHeight="1" x14ac:dyDescent="0.35">
      <c r="A89" s="4"/>
      <c r="B89" s="4"/>
      <c r="C89" s="4"/>
      <c r="D89" s="4"/>
      <c r="E89" s="4"/>
      <c r="F89" s="4"/>
      <c r="G89" s="4"/>
    </row>
    <row r="90" spans="1:7" ht="15.75" customHeight="1" x14ac:dyDescent="0.35">
      <c r="A90" s="4"/>
      <c r="B90" s="4"/>
      <c r="C90" s="4"/>
      <c r="D90" s="4"/>
      <c r="E90" s="4"/>
      <c r="F90" s="4"/>
      <c r="G90" s="4"/>
    </row>
    <row r="91" spans="1:7" ht="15.75" customHeight="1" x14ac:dyDescent="0.35">
      <c r="A91" s="4"/>
      <c r="B91" s="4"/>
      <c r="C91" s="4"/>
      <c r="D91" s="4"/>
      <c r="E91" s="4"/>
      <c r="F91" s="4"/>
      <c r="G91" s="4"/>
    </row>
    <row r="92" spans="1:7" ht="15.75" customHeight="1" x14ac:dyDescent="0.35">
      <c r="A92" s="4"/>
      <c r="B92" s="4"/>
      <c r="C92" s="4"/>
      <c r="D92" s="4"/>
      <c r="E92" s="4"/>
      <c r="F92" s="4"/>
      <c r="G92" s="4"/>
    </row>
    <row r="93" spans="1:7" ht="15.75" customHeight="1" x14ac:dyDescent="0.35">
      <c r="A93" s="4"/>
      <c r="B93" s="4"/>
      <c r="C93" s="4"/>
      <c r="D93" s="4"/>
      <c r="E93" s="4"/>
      <c r="F93" s="4"/>
      <c r="G93" s="4"/>
    </row>
    <row r="94" spans="1:7" ht="15.75" customHeight="1" x14ac:dyDescent="0.35">
      <c r="A94" s="4"/>
      <c r="B94" s="4"/>
      <c r="C94" s="4"/>
      <c r="D94" s="4"/>
      <c r="E94" s="4"/>
      <c r="F94" s="4"/>
      <c r="G94" s="4"/>
    </row>
    <row r="95" spans="1:7" ht="15.75" customHeight="1" x14ac:dyDescent="0.35">
      <c r="A95" s="4"/>
      <c r="B95" s="4"/>
      <c r="C95" s="4"/>
      <c r="D95" s="4"/>
      <c r="E95" s="4"/>
      <c r="F95" s="4"/>
      <c r="G95" s="4"/>
    </row>
    <row r="96" spans="1:7" ht="15.75" customHeight="1" x14ac:dyDescent="0.35">
      <c r="A96" s="4"/>
      <c r="B96" s="4"/>
      <c r="C96" s="4"/>
      <c r="D96" s="4"/>
      <c r="E96" s="4"/>
      <c r="F96" s="4"/>
      <c r="G96" s="4"/>
    </row>
    <row r="97" spans="1:7" ht="15.75" customHeight="1" x14ac:dyDescent="0.35">
      <c r="A97" s="4"/>
      <c r="B97" s="4"/>
      <c r="C97" s="4"/>
      <c r="D97" s="4"/>
      <c r="E97" s="4"/>
      <c r="F97" s="4"/>
      <c r="G97" s="4"/>
    </row>
    <row r="98" spans="1:7" ht="15.75" customHeight="1" x14ac:dyDescent="0.35">
      <c r="A98" s="4"/>
      <c r="B98" s="4"/>
      <c r="C98" s="4"/>
      <c r="D98" s="4"/>
      <c r="E98" s="4"/>
      <c r="F98" s="4"/>
      <c r="G98" s="4"/>
    </row>
    <row r="99" spans="1:7" ht="15.75" customHeight="1" x14ac:dyDescent="0.35">
      <c r="A99" s="4"/>
      <c r="B99" s="4"/>
      <c r="C99" s="4"/>
      <c r="D99" s="4"/>
      <c r="E99" s="4"/>
      <c r="F99" s="4"/>
      <c r="G99" s="4"/>
    </row>
    <row r="100" spans="1:7" ht="15.75" customHeight="1" x14ac:dyDescent="0.35">
      <c r="A100" s="4"/>
      <c r="B100" s="4"/>
      <c r="C100" s="4"/>
      <c r="D100" s="4"/>
      <c r="E100" s="4"/>
      <c r="F100" s="4"/>
      <c r="G100" s="4"/>
    </row>
    <row r="101" spans="1:7" ht="15.75" customHeight="1" x14ac:dyDescent="0.35">
      <c r="A101" s="4"/>
      <c r="B101" s="4"/>
      <c r="C101" s="4"/>
      <c r="D101" s="4"/>
      <c r="E101" s="4"/>
      <c r="F101" s="4"/>
      <c r="G101" s="4"/>
    </row>
    <row r="102" spans="1:7" ht="15.75" customHeight="1" x14ac:dyDescent="0.35">
      <c r="A102" s="4"/>
      <c r="B102" s="4"/>
      <c r="C102" s="4"/>
      <c r="D102" s="4"/>
      <c r="E102" s="4"/>
      <c r="F102" s="4"/>
      <c r="G102" s="4"/>
    </row>
    <row r="103" spans="1:7" ht="15.75" customHeight="1" x14ac:dyDescent="0.35">
      <c r="A103" s="4"/>
      <c r="B103" s="4"/>
      <c r="C103" s="4"/>
      <c r="D103" s="4"/>
      <c r="E103" s="4"/>
      <c r="F103" s="4"/>
      <c r="G103" s="4"/>
    </row>
    <row r="104" spans="1:7" ht="15.75" customHeight="1" x14ac:dyDescent="0.35">
      <c r="A104" s="4"/>
      <c r="B104" s="4"/>
      <c r="C104" s="4"/>
      <c r="D104" s="4"/>
      <c r="E104" s="4"/>
      <c r="F104" s="4"/>
      <c r="G104" s="4"/>
    </row>
    <row r="105" spans="1:7" ht="15.75" customHeight="1" x14ac:dyDescent="0.35">
      <c r="A105" s="4"/>
      <c r="B105" s="4"/>
      <c r="C105" s="4"/>
      <c r="D105" s="4"/>
      <c r="E105" s="4"/>
      <c r="F105" s="4"/>
      <c r="G105" s="4"/>
    </row>
    <row r="106" spans="1:7" ht="15.75" customHeight="1" x14ac:dyDescent="0.35">
      <c r="A106" s="4"/>
      <c r="B106" s="4"/>
      <c r="C106" s="4"/>
      <c r="D106" s="4"/>
      <c r="E106" s="4"/>
      <c r="F106" s="4"/>
      <c r="G106" s="4"/>
    </row>
    <row r="107" spans="1:7" ht="15.75" customHeight="1" x14ac:dyDescent="0.35">
      <c r="A107" s="4"/>
      <c r="B107" s="4"/>
      <c r="C107" s="4"/>
      <c r="D107" s="4"/>
      <c r="E107" s="4"/>
      <c r="F107" s="4"/>
      <c r="G107" s="4"/>
    </row>
    <row r="108" spans="1:7" ht="15.75" customHeight="1" x14ac:dyDescent="0.35">
      <c r="A108" s="4"/>
      <c r="B108" s="4"/>
      <c r="C108" s="4"/>
      <c r="D108" s="4"/>
      <c r="E108" s="4"/>
      <c r="F108" s="4"/>
      <c r="G108" s="4"/>
    </row>
    <row r="109" spans="1:7" ht="15.75" customHeight="1" x14ac:dyDescent="0.35">
      <c r="A109" s="4"/>
      <c r="B109" s="4"/>
      <c r="C109" s="4"/>
      <c r="D109" s="4"/>
      <c r="E109" s="4"/>
      <c r="F109" s="4"/>
      <c r="G109" s="4"/>
    </row>
    <row r="110" spans="1:7" ht="15.75" customHeight="1" x14ac:dyDescent="0.35">
      <c r="A110" s="4"/>
      <c r="B110" s="4"/>
      <c r="C110" s="4"/>
      <c r="D110" s="4"/>
      <c r="E110" s="4"/>
      <c r="F110" s="4"/>
      <c r="G110" s="4"/>
    </row>
    <row r="111" spans="1:7" ht="15.75" customHeight="1" x14ac:dyDescent="0.35">
      <c r="A111" s="4"/>
      <c r="B111" s="4"/>
      <c r="C111" s="4"/>
      <c r="D111" s="4"/>
      <c r="E111" s="4"/>
      <c r="F111" s="4"/>
      <c r="G111" s="4"/>
    </row>
    <row r="112" spans="1:7" ht="15.75" customHeight="1" x14ac:dyDescent="0.35">
      <c r="A112" s="4"/>
      <c r="B112" s="4"/>
      <c r="C112" s="4"/>
      <c r="D112" s="4"/>
      <c r="E112" s="4"/>
      <c r="F112" s="4"/>
      <c r="G112" s="4"/>
    </row>
    <row r="113" spans="1:7" ht="15.75" customHeight="1" x14ac:dyDescent="0.35">
      <c r="A113" s="4"/>
      <c r="B113" s="4"/>
      <c r="C113" s="4"/>
      <c r="D113" s="4"/>
      <c r="E113" s="4"/>
      <c r="F113" s="4"/>
      <c r="G113" s="4"/>
    </row>
    <row r="114" spans="1:7" ht="15.75" customHeight="1" x14ac:dyDescent="0.35">
      <c r="A114" s="4"/>
      <c r="B114" s="4"/>
      <c r="C114" s="4"/>
      <c r="D114" s="4"/>
      <c r="E114" s="4"/>
      <c r="F114" s="4"/>
      <c r="G114" s="4"/>
    </row>
    <row r="115" spans="1:7" ht="15.75" customHeight="1" x14ac:dyDescent="0.35">
      <c r="A115" s="4"/>
      <c r="B115" s="4"/>
      <c r="C115" s="4"/>
      <c r="D115" s="4"/>
      <c r="E115" s="4"/>
      <c r="F115" s="4"/>
      <c r="G115" s="4"/>
    </row>
    <row r="116" spans="1:7" ht="15.75" customHeight="1" x14ac:dyDescent="0.35">
      <c r="A116" s="4"/>
      <c r="B116" s="4"/>
      <c r="C116" s="4"/>
      <c r="D116" s="4"/>
      <c r="E116" s="4"/>
      <c r="F116" s="4"/>
      <c r="G116" s="4"/>
    </row>
    <row r="117" spans="1:7" ht="15.75" customHeight="1" x14ac:dyDescent="0.35">
      <c r="A117" s="4"/>
      <c r="B117" s="4"/>
      <c r="C117" s="4"/>
      <c r="D117" s="4"/>
      <c r="E117" s="4"/>
      <c r="F117" s="4"/>
      <c r="G117" s="4"/>
    </row>
    <row r="118" spans="1:7" ht="15.75" customHeight="1" x14ac:dyDescent="0.35">
      <c r="A118" s="4"/>
      <c r="B118" s="4"/>
      <c r="C118" s="4"/>
      <c r="D118" s="4"/>
      <c r="E118" s="4"/>
      <c r="F118" s="4"/>
      <c r="G118" s="4"/>
    </row>
    <row r="119" spans="1:7" ht="15.75" customHeight="1" x14ac:dyDescent="0.35">
      <c r="A119" s="4"/>
      <c r="B119" s="4"/>
      <c r="C119" s="4"/>
      <c r="D119" s="4"/>
      <c r="E119" s="4"/>
      <c r="F119" s="4"/>
      <c r="G119" s="4"/>
    </row>
    <row r="120" spans="1:7" ht="15.75" customHeight="1" x14ac:dyDescent="0.35">
      <c r="A120" s="4"/>
      <c r="B120" s="4"/>
      <c r="C120" s="4"/>
      <c r="D120" s="4"/>
      <c r="E120" s="4"/>
      <c r="F120" s="4"/>
      <c r="G120" s="4"/>
    </row>
    <row r="121" spans="1:7" ht="15.75" customHeight="1" x14ac:dyDescent="0.35">
      <c r="A121" s="4"/>
      <c r="B121" s="4"/>
      <c r="C121" s="4"/>
      <c r="D121" s="4"/>
      <c r="E121" s="4"/>
      <c r="F121" s="4"/>
      <c r="G121" s="4"/>
    </row>
    <row r="122" spans="1:7" ht="15.75" customHeight="1" x14ac:dyDescent="0.35">
      <c r="A122" s="4"/>
      <c r="B122" s="4"/>
      <c r="C122" s="4"/>
      <c r="D122" s="4"/>
      <c r="E122" s="4"/>
      <c r="F122" s="4"/>
      <c r="G122" s="4"/>
    </row>
    <row r="123" spans="1:7" ht="15.75" customHeight="1" x14ac:dyDescent="0.35">
      <c r="A123" s="4"/>
      <c r="B123" s="4"/>
      <c r="C123" s="4"/>
      <c r="D123" s="4"/>
      <c r="E123" s="4"/>
      <c r="F123" s="4"/>
      <c r="G123" s="4"/>
    </row>
    <row r="124" spans="1:7" ht="15.75" customHeight="1" x14ac:dyDescent="0.35">
      <c r="A124" s="4"/>
      <c r="B124" s="4"/>
      <c r="C124" s="4"/>
      <c r="D124" s="4"/>
      <c r="E124" s="4"/>
      <c r="F124" s="4"/>
      <c r="G124" s="4"/>
    </row>
    <row r="125" spans="1:7" ht="15.75" customHeight="1" x14ac:dyDescent="0.35">
      <c r="A125" s="4"/>
      <c r="B125" s="4"/>
      <c r="C125" s="4"/>
      <c r="D125" s="4"/>
      <c r="E125" s="4"/>
      <c r="F125" s="4"/>
      <c r="G125" s="4"/>
    </row>
    <row r="126" spans="1:7" ht="15.75" customHeight="1" x14ac:dyDescent="0.35">
      <c r="A126" s="4"/>
      <c r="B126" s="4"/>
      <c r="C126" s="4"/>
      <c r="D126" s="4"/>
      <c r="E126" s="4"/>
      <c r="F126" s="4"/>
      <c r="G126" s="4"/>
    </row>
    <row r="127" spans="1:7" ht="15.75" customHeight="1" x14ac:dyDescent="0.35">
      <c r="A127" s="4"/>
      <c r="B127" s="4"/>
      <c r="C127" s="4"/>
      <c r="D127" s="4"/>
      <c r="E127" s="4"/>
      <c r="F127" s="4"/>
      <c r="G127" s="4"/>
    </row>
    <row r="128" spans="1:7" ht="15.75" customHeight="1" x14ac:dyDescent="0.35">
      <c r="A128" s="4"/>
      <c r="B128" s="4"/>
      <c r="C128" s="4"/>
      <c r="D128" s="4"/>
      <c r="E128" s="4"/>
      <c r="F128" s="4"/>
      <c r="G128" s="4"/>
    </row>
    <row r="129" spans="1:7" ht="15.75" customHeight="1" x14ac:dyDescent="0.35">
      <c r="A129" s="4"/>
      <c r="B129" s="4"/>
      <c r="C129" s="4"/>
      <c r="D129" s="4"/>
      <c r="E129" s="4"/>
      <c r="F129" s="4"/>
      <c r="G129" s="4"/>
    </row>
    <row r="130" spans="1:7" ht="15.75" customHeight="1" x14ac:dyDescent="0.35">
      <c r="A130" s="4"/>
      <c r="B130" s="4"/>
      <c r="C130" s="4"/>
      <c r="D130" s="4"/>
      <c r="E130" s="4"/>
      <c r="F130" s="4"/>
      <c r="G130" s="4"/>
    </row>
    <row r="131" spans="1:7" ht="15.75" customHeight="1" x14ac:dyDescent="0.35">
      <c r="A131" s="4"/>
      <c r="B131" s="4"/>
      <c r="C131" s="4"/>
      <c r="D131" s="4"/>
      <c r="E131" s="4"/>
      <c r="F131" s="4"/>
      <c r="G131" s="4"/>
    </row>
    <row r="132" spans="1:7" ht="15.75" customHeight="1" x14ac:dyDescent="0.35">
      <c r="A132" s="4"/>
      <c r="B132" s="4"/>
      <c r="C132" s="4"/>
      <c r="D132" s="4"/>
      <c r="E132" s="4"/>
      <c r="F132" s="4"/>
      <c r="G132" s="4"/>
    </row>
    <row r="133" spans="1:7" ht="15.75" customHeight="1" x14ac:dyDescent="0.35">
      <c r="A133" s="4"/>
      <c r="B133" s="4"/>
      <c r="C133" s="4"/>
      <c r="D133" s="4"/>
      <c r="E133" s="4"/>
      <c r="F133" s="4"/>
      <c r="G133" s="4"/>
    </row>
    <row r="134" spans="1:7" ht="15.75" customHeight="1" x14ac:dyDescent="0.35">
      <c r="A134" s="4"/>
      <c r="B134" s="4"/>
      <c r="C134" s="4"/>
      <c r="D134" s="4"/>
      <c r="E134" s="4"/>
      <c r="F134" s="4"/>
      <c r="G134" s="4"/>
    </row>
    <row r="135" spans="1:7" ht="15.75" customHeight="1" x14ac:dyDescent="0.35">
      <c r="A135" s="4"/>
      <c r="B135" s="4"/>
      <c r="C135" s="4"/>
      <c r="D135" s="4"/>
      <c r="E135" s="4"/>
      <c r="F135" s="4"/>
      <c r="G135" s="4"/>
    </row>
    <row r="136" spans="1:7" ht="15.75" customHeight="1" x14ac:dyDescent="0.35">
      <c r="A136" s="4"/>
      <c r="B136" s="4"/>
      <c r="C136" s="4"/>
      <c r="D136" s="4"/>
      <c r="E136" s="4"/>
      <c r="F136" s="4"/>
      <c r="G136" s="4"/>
    </row>
    <row r="137" spans="1:7" ht="15.75" customHeight="1" x14ac:dyDescent="0.35">
      <c r="A137" s="4"/>
      <c r="B137" s="4"/>
      <c r="C137" s="4"/>
      <c r="D137" s="4"/>
      <c r="E137" s="4"/>
      <c r="F137" s="4"/>
      <c r="G137" s="4"/>
    </row>
    <row r="138" spans="1:7" ht="15.75" customHeight="1" x14ac:dyDescent="0.35">
      <c r="A138" s="4"/>
      <c r="B138" s="4"/>
      <c r="C138" s="4"/>
      <c r="D138" s="4"/>
      <c r="E138" s="4"/>
      <c r="F138" s="4"/>
      <c r="G138" s="4"/>
    </row>
    <row r="139" spans="1:7" ht="15.75" customHeight="1" x14ac:dyDescent="0.35">
      <c r="A139" s="4"/>
      <c r="B139" s="4"/>
      <c r="C139" s="4"/>
      <c r="D139" s="4"/>
      <c r="E139" s="4"/>
      <c r="F139" s="4"/>
      <c r="G139" s="4"/>
    </row>
    <row r="140" spans="1:7" ht="15.75" customHeight="1" x14ac:dyDescent="0.35">
      <c r="A140" s="4"/>
      <c r="B140" s="4"/>
      <c r="C140" s="4"/>
      <c r="D140" s="4"/>
      <c r="E140" s="4"/>
      <c r="F140" s="4"/>
      <c r="G140" s="4"/>
    </row>
    <row r="141" spans="1:7" ht="15.75" customHeight="1" x14ac:dyDescent="0.35">
      <c r="A141" s="4"/>
      <c r="B141" s="4"/>
      <c r="C141" s="4"/>
      <c r="D141" s="4"/>
      <c r="E141" s="4"/>
      <c r="F141" s="4"/>
      <c r="G141" s="4"/>
    </row>
    <row r="142" spans="1:7" ht="15.75" customHeight="1" x14ac:dyDescent="0.35">
      <c r="A142" s="4"/>
      <c r="B142" s="4"/>
      <c r="C142" s="4"/>
      <c r="D142" s="4"/>
      <c r="E142" s="4"/>
      <c r="F142" s="4"/>
      <c r="G142" s="4"/>
    </row>
    <row r="143" spans="1:7" ht="15.75" customHeight="1" x14ac:dyDescent="0.35">
      <c r="A143" s="4"/>
      <c r="B143" s="4"/>
      <c r="C143" s="4"/>
      <c r="D143" s="4"/>
      <c r="E143" s="4"/>
      <c r="F143" s="4"/>
      <c r="G143" s="4"/>
    </row>
    <row r="144" spans="1:7" ht="15.75" customHeight="1" x14ac:dyDescent="0.35">
      <c r="A144" s="4"/>
      <c r="B144" s="4"/>
      <c r="C144" s="4"/>
      <c r="D144" s="4"/>
      <c r="E144" s="4"/>
      <c r="F144" s="4"/>
      <c r="G144" s="4"/>
    </row>
    <row r="145" spans="1:7" ht="15.75" customHeight="1" x14ac:dyDescent="0.35">
      <c r="A145" s="4"/>
      <c r="B145" s="4"/>
      <c r="C145" s="4"/>
      <c r="D145" s="4"/>
      <c r="E145" s="4"/>
      <c r="F145" s="4"/>
      <c r="G145" s="4"/>
    </row>
    <row r="146" spans="1:7" ht="15.75" customHeight="1" x14ac:dyDescent="0.35">
      <c r="A146" s="4"/>
      <c r="B146" s="4"/>
      <c r="C146" s="4"/>
      <c r="D146" s="4"/>
      <c r="E146" s="4"/>
      <c r="F146" s="4"/>
      <c r="G146" s="4"/>
    </row>
    <row r="147" spans="1:7" ht="15.75" customHeight="1" x14ac:dyDescent="0.35">
      <c r="A147" s="4"/>
      <c r="B147" s="4"/>
      <c r="C147" s="4"/>
      <c r="D147" s="4"/>
      <c r="E147" s="4"/>
      <c r="F147" s="4"/>
      <c r="G147" s="4"/>
    </row>
    <row r="148" spans="1:7" ht="15.75" customHeight="1" x14ac:dyDescent="0.35">
      <c r="A148" s="4"/>
      <c r="B148" s="4"/>
      <c r="C148" s="4"/>
      <c r="D148" s="4"/>
      <c r="E148" s="4"/>
      <c r="F148" s="4"/>
      <c r="G148" s="4"/>
    </row>
    <row r="149" spans="1:7" ht="15.75" customHeight="1" x14ac:dyDescent="0.35">
      <c r="A149" s="4"/>
      <c r="B149" s="4"/>
      <c r="C149" s="4"/>
      <c r="D149" s="4"/>
      <c r="E149" s="4"/>
      <c r="F149" s="4"/>
      <c r="G149" s="4"/>
    </row>
    <row r="150" spans="1:7" ht="15.75" customHeight="1" x14ac:dyDescent="0.35">
      <c r="A150" s="4"/>
      <c r="B150" s="4"/>
      <c r="C150" s="4"/>
      <c r="D150" s="4"/>
      <c r="E150" s="4"/>
      <c r="F150" s="4"/>
      <c r="G150" s="4"/>
    </row>
    <row r="151" spans="1:7" ht="15.75" customHeight="1" x14ac:dyDescent="0.35">
      <c r="A151" s="4"/>
      <c r="B151" s="4"/>
      <c r="C151" s="4"/>
      <c r="D151" s="4"/>
      <c r="E151" s="4"/>
      <c r="F151" s="4"/>
      <c r="G151" s="4"/>
    </row>
    <row r="152" spans="1:7" ht="15.75" customHeight="1" x14ac:dyDescent="0.35">
      <c r="A152" s="4"/>
      <c r="B152" s="4"/>
      <c r="C152" s="4"/>
      <c r="D152" s="4"/>
      <c r="E152" s="4"/>
      <c r="F152" s="4"/>
      <c r="G152" s="4"/>
    </row>
    <row r="153" spans="1:7" ht="15.75" customHeight="1" x14ac:dyDescent="0.35">
      <c r="A153" s="4"/>
      <c r="B153" s="4"/>
      <c r="C153" s="4"/>
      <c r="D153" s="4"/>
      <c r="E153" s="4"/>
      <c r="F153" s="4"/>
      <c r="G153" s="4"/>
    </row>
    <row r="154" spans="1:7" ht="15.75" customHeight="1" x14ac:dyDescent="0.35">
      <c r="A154" s="4"/>
      <c r="B154" s="4"/>
      <c r="C154" s="4"/>
      <c r="D154" s="4"/>
      <c r="E154" s="4"/>
      <c r="F154" s="4"/>
      <c r="G154" s="4"/>
    </row>
    <row r="155" spans="1:7" ht="15.75" customHeight="1" x14ac:dyDescent="0.35">
      <c r="A155" s="4"/>
      <c r="B155" s="4"/>
      <c r="C155" s="4"/>
      <c r="D155" s="4"/>
      <c r="E155" s="4"/>
      <c r="F155" s="4"/>
      <c r="G155" s="4"/>
    </row>
    <row r="156" spans="1:7" ht="15.75" customHeight="1" x14ac:dyDescent="0.35">
      <c r="A156" s="4"/>
      <c r="B156" s="4"/>
      <c r="C156" s="4"/>
      <c r="D156" s="4"/>
      <c r="E156" s="4"/>
      <c r="F156" s="4"/>
      <c r="G156" s="4"/>
    </row>
    <row r="157" spans="1:7" ht="15.75" customHeight="1" x14ac:dyDescent="0.35">
      <c r="A157" s="4"/>
      <c r="B157" s="4"/>
      <c r="C157" s="4"/>
      <c r="D157" s="4"/>
      <c r="E157" s="4"/>
      <c r="F157" s="4"/>
      <c r="G157" s="4"/>
    </row>
    <row r="158" spans="1:7" ht="15.75" customHeight="1" x14ac:dyDescent="0.35">
      <c r="A158" s="4"/>
      <c r="B158" s="4"/>
      <c r="C158" s="4"/>
      <c r="D158" s="4"/>
      <c r="E158" s="4"/>
      <c r="F158" s="4"/>
      <c r="G158" s="4"/>
    </row>
    <row r="159" spans="1:7" ht="15.75" customHeight="1" x14ac:dyDescent="0.35">
      <c r="A159" s="4"/>
      <c r="B159" s="4"/>
      <c r="C159" s="4"/>
      <c r="D159" s="4"/>
      <c r="E159" s="4"/>
      <c r="F159" s="4"/>
      <c r="G159" s="4"/>
    </row>
    <row r="160" spans="1:7" ht="15.75" customHeight="1" x14ac:dyDescent="0.35">
      <c r="A160" s="4"/>
      <c r="B160" s="4"/>
      <c r="C160" s="4"/>
      <c r="D160" s="4"/>
      <c r="E160" s="4"/>
      <c r="F160" s="4"/>
      <c r="G160" s="4"/>
    </row>
    <row r="161" spans="1:7" ht="15.75" customHeight="1" x14ac:dyDescent="0.35">
      <c r="A161" s="4"/>
      <c r="B161" s="4"/>
      <c r="C161" s="4"/>
      <c r="D161" s="4"/>
      <c r="E161" s="4"/>
      <c r="F161" s="4"/>
      <c r="G161" s="4"/>
    </row>
    <row r="162" spans="1:7" ht="15.75" customHeight="1" x14ac:dyDescent="0.35">
      <c r="A162" s="4"/>
      <c r="B162" s="4"/>
      <c r="C162" s="4"/>
      <c r="D162" s="4"/>
      <c r="E162" s="4"/>
      <c r="F162" s="4"/>
      <c r="G162" s="4"/>
    </row>
    <row r="163" spans="1:7" ht="15.75" customHeight="1" x14ac:dyDescent="0.35">
      <c r="A163" s="4"/>
      <c r="B163" s="4"/>
      <c r="C163" s="4"/>
      <c r="D163" s="4"/>
      <c r="E163" s="4"/>
      <c r="F163" s="4"/>
      <c r="G163" s="4"/>
    </row>
    <row r="164" spans="1:7" ht="15.75" customHeight="1" x14ac:dyDescent="0.35">
      <c r="A164" s="4"/>
      <c r="B164" s="4"/>
      <c r="C164" s="4"/>
      <c r="D164" s="4"/>
      <c r="E164" s="4"/>
      <c r="F164" s="4"/>
      <c r="G164" s="4"/>
    </row>
    <row r="165" spans="1:7" ht="15.75" customHeight="1" x14ac:dyDescent="0.35">
      <c r="A165" s="4"/>
      <c r="B165" s="4"/>
      <c r="C165" s="4"/>
      <c r="D165" s="4"/>
      <c r="E165" s="4"/>
      <c r="F165" s="4"/>
      <c r="G165" s="4"/>
    </row>
    <row r="166" spans="1:7" ht="15.75" customHeight="1" x14ac:dyDescent="0.35">
      <c r="A166" s="4"/>
      <c r="B166" s="4"/>
      <c r="C166" s="4"/>
      <c r="D166" s="4"/>
      <c r="E166" s="4"/>
      <c r="F166" s="4"/>
      <c r="G166" s="4"/>
    </row>
    <row r="167" spans="1:7" ht="15.75" customHeight="1" x14ac:dyDescent="0.35">
      <c r="A167" s="4"/>
      <c r="B167" s="4"/>
      <c r="C167" s="4"/>
      <c r="D167" s="4"/>
      <c r="E167" s="4"/>
      <c r="F167" s="4"/>
      <c r="G167" s="4"/>
    </row>
    <row r="168" spans="1:7" ht="15.75" customHeight="1" x14ac:dyDescent="0.35">
      <c r="A168" s="4"/>
      <c r="B168" s="4"/>
      <c r="C168" s="4"/>
      <c r="D168" s="4"/>
      <c r="E168" s="4"/>
      <c r="F168" s="4"/>
      <c r="G168" s="4"/>
    </row>
    <row r="169" spans="1:7" ht="15.75" customHeight="1" x14ac:dyDescent="0.35">
      <c r="A169" s="4"/>
      <c r="B169" s="4"/>
      <c r="C169" s="4"/>
      <c r="D169" s="4"/>
      <c r="E169" s="4"/>
      <c r="F169" s="4"/>
      <c r="G169" s="4"/>
    </row>
    <row r="170" spans="1:7" ht="15.75" customHeight="1" x14ac:dyDescent="0.35">
      <c r="A170" s="4"/>
      <c r="B170" s="4"/>
      <c r="C170" s="4"/>
      <c r="D170" s="4"/>
      <c r="E170" s="4"/>
      <c r="F170" s="4"/>
      <c r="G170" s="4"/>
    </row>
    <row r="171" spans="1:7" ht="15.75" customHeight="1" x14ac:dyDescent="0.35">
      <c r="A171" s="4"/>
      <c r="B171" s="4"/>
      <c r="C171" s="4"/>
      <c r="D171" s="4"/>
      <c r="E171" s="4"/>
      <c r="F171" s="4"/>
      <c r="G171" s="4"/>
    </row>
    <row r="172" spans="1:7" ht="15.75" customHeight="1" x14ac:dyDescent="0.35">
      <c r="A172" s="4"/>
      <c r="B172" s="4"/>
      <c r="C172" s="4"/>
      <c r="D172" s="4"/>
      <c r="E172" s="4"/>
      <c r="F172" s="4"/>
      <c r="G172" s="4"/>
    </row>
    <row r="173" spans="1:7" ht="15.75" customHeight="1" x14ac:dyDescent="0.35">
      <c r="A173" s="4"/>
      <c r="B173" s="4"/>
      <c r="C173" s="4"/>
      <c r="D173" s="4"/>
      <c r="E173" s="4"/>
      <c r="F173" s="4"/>
      <c r="G173" s="4"/>
    </row>
    <row r="174" spans="1:7" ht="15.75" customHeight="1" x14ac:dyDescent="0.35">
      <c r="A174" s="4"/>
      <c r="B174" s="4"/>
      <c r="C174" s="4"/>
      <c r="D174" s="4"/>
      <c r="E174" s="4"/>
      <c r="F174" s="4"/>
      <c r="G174" s="4"/>
    </row>
    <row r="175" spans="1:7" ht="15.75" customHeight="1" x14ac:dyDescent="0.35">
      <c r="A175" s="4"/>
      <c r="B175" s="4"/>
      <c r="C175" s="4"/>
      <c r="D175" s="4"/>
      <c r="E175" s="4"/>
      <c r="F175" s="4"/>
      <c r="G175" s="4"/>
    </row>
    <row r="176" spans="1:7" ht="15.75" customHeight="1" x14ac:dyDescent="0.35">
      <c r="A176" s="4"/>
      <c r="B176" s="4"/>
      <c r="C176" s="4"/>
      <c r="D176" s="4"/>
      <c r="E176" s="4"/>
      <c r="F176" s="4"/>
      <c r="G176" s="4"/>
    </row>
    <row r="177" spans="1:7" ht="15.75" customHeight="1" x14ac:dyDescent="0.35">
      <c r="A177" s="4"/>
      <c r="B177" s="4"/>
      <c r="C177" s="4"/>
      <c r="D177" s="4"/>
      <c r="E177" s="4"/>
      <c r="F177" s="4"/>
      <c r="G177" s="4"/>
    </row>
    <row r="178" spans="1:7" ht="15.75" customHeight="1" x14ac:dyDescent="0.35">
      <c r="A178" s="4"/>
      <c r="B178" s="4"/>
      <c r="C178" s="4"/>
      <c r="D178" s="4"/>
      <c r="E178" s="4"/>
      <c r="F178" s="4"/>
      <c r="G178" s="4"/>
    </row>
    <row r="179" spans="1:7" ht="15.75" customHeight="1" x14ac:dyDescent="0.35">
      <c r="A179" s="4"/>
      <c r="B179" s="4"/>
      <c r="C179" s="4"/>
      <c r="D179" s="4"/>
      <c r="E179" s="4"/>
      <c r="F179" s="4"/>
      <c r="G179" s="4"/>
    </row>
    <row r="180" spans="1:7" ht="15.75" customHeight="1" x14ac:dyDescent="0.35">
      <c r="A180" s="4"/>
      <c r="B180" s="4"/>
      <c r="C180" s="4"/>
      <c r="D180" s="4"/>
      <c r="E180" s="4"/>
      <c r="F180" s="4"/>
      <c r="G180" s="4"/>
    </row>
    <row r="181" spans="1:7" ht="15.75" customHeight="1" x14ac:dyDescent="0.35">
      <c r="A181" s="4"/>
      <c r="B181" s="4"/>
      <c r="C181" s="4"/>
      <c r="D181" s="4"/>
      <c r="E181" s="4"/>
      <c r="F181" s="4"/>
      <c r="G181" s="4"/>
    </row>
    <row r="182" spans="1:7" ht="15.75" customHeight="1" x14ac:dyDescent="0.35">
      <c r="A182" s="4"/>
      <c r="B182" s="4"/>
      <c r="C182" s="4"/>
      <c r="D182" s="4"/>
      <c r="E182" s="4"/>
      <c r="F182" s="4"/>
      <c r="G182" s="4"/>
    </row>
    <row r="183" spans="1:7" ht="15.75" customHeight="1" x14ac:dyDescent="0.35">
      <c r="A183" s="4"/>
      <c r="B183" s="4"/>
      <c r="C183" s="4"/>
      <c r="D183" s="4"/>
      <c r="E183" s="4"/>
      <c r="F183" s="4"/>
      <c r="G183" s="4"/>
    </row>
    <row r="184" spans="1:7" ht="15.75" customHeight="1" x14ac:dyDescent="0.35">
      <c r="A184" s="4"/>
      <c r="B184" s="4"/>
      <c r="C184" s="4"/>
      <c r="D184" s="4"/>
      <c r="E184" s="4"/>
      <c r="F184" s="4"/>
      <c r="G184" s="4"/>
    </row>
    <row r="185" spans="1:7" ht="15.75" customHeight="1" x14ac:dyDescent="0.35">
      <c r="A185" s="4"/>
      <c r="B185" s="4"/>
      <c r="C185" s="4"/>
      <c r="D185" s="4"/>
      <c r="E185" s="4"/>
      <c r="F185" s="4"/>
      <c r="G185" s="4"/>
    </row>
    <row r="186" spans="1:7" ht="15.75" customHeight="1" x14ac:dyDescent="0.35">
      <c r="A186" s="4"/>
      <c r="B186" s="4"/>
      <c r="C186" s="4"/>
      <c r="D186" s="4"/>
      <c r="E186" s="4"/>
      <c r="F186" s="4"/>
      <c r="G186" s="4"/>
    </row>
    <row r="187" spans="1:7" ht="15.75" customHeight="1" x14ac:dyDescent="0.35">
      <c r="A187" s="4"/>
      <c r="B187" s="4"/>
      <c r="C187" s="4"/>
      <c r="D187" s="4"/>
      <c r="E187" s="4"/>
      <c r="F187" s="4"/>
      <c r="G187" s="4"/>
    </row>
    <row r="188" spans="1:7" ht="15.75" customHeight="1" x14ac:dyDescent="0.35">
      <c r="A188" s="4"/>
      <c r="B188" s="4"/>
      <c r="C188" s="4"/>
      <c r="D188" s="4"/>
      <c r="E188" s="4"/>
      <c r="F188" s="4"/>
      <c r="G188" s="4"/>
    </row>
    <row r="189" spans="1:7" ht="15.75" customHeight="1" x14ac:dyDescent="0.35">
      <c r="A189" s="4"/>
      <c r="B189" s="4"/>
      <c r="C189" s="4"/>
      <c r="D189" s="4"/>
      <c r="E189" s="4"/>
      <c r="F189" s="4"/>
      <c r="G189" s="4"/>
    </row>
    <row r="190" spans="1:7" ht="15.75" customHeight="1" x14ac:dyDescent="0.35">
      <c r="A190" s="4"/>
      <c r="B190" s="4"/>
      <c r="C190" s="4"/>
      <c r="D190" s="4"/>
      <c r="E190" s="4"/>
      <c r="F190" s="4"/>
      <c r="G190" s="4"/>
    </row>
    <row r="191" spans="1:7" ht="15.75" customHeight="1" x14ac:dyDescent="0.35">
      <c r="A191" s="4"/>
      <c r="B191" s="4"/>
      <c r="C191" s="4"/>
      <c r="D191" s="4"/>
      <c r="E191" s="4"/>
      <c r="F191" s="4"/>
      <c r="G191" s="4"/>
    </row>
    <row r="192" spans="1:7" ht="15.75" customHeight="1" x14ac:dyDescent="0.35">
      <c r="A192" s="4"/>
      <c r="B192" s="4"/>
      <c r="C192" s="4"/>
      <c r="D192" s="4"/>
      <c r="E192" s="4"/>
      <c r="F192" s="4"/>
      <c r="G192" s="4"/>
    </row>
    <row r="193" spans="1:7" ht="15.75" customHeight="1" x14ac:dyDescent="0.35">
      <c r="A193" s="4"/>
      <c r="B193" s="4"/>
      <c r="C193" s="4"/>
      <c r="D193" s="4"/>
      <c r="E193" s="4"/>
      <c r="F193" s="4"/>
      <c r="G193" s="4"/>
    </row>
    <row r="194" spans="1:7" ht="15.75" customHeight="1" x14ac:dyDescent="0.35">
      <c r="A194" s="4"/>
      <c r="B194" s="4"/>
      <c r="C194" s="4"/>
      <c r="D194" s="4"/>
      <c r="E194" s="4"/>
      <c r="F194" s="4"/>
      <c r="G194" s="4"/>
    </row>
    <row r="195" spans="1:7" ht="15.75" customHeight="1" x14ac:dyDescent="0.35">
      <c r="A195" s="4"/>
      <c r="B195" s="4"/>
      <c r="C195" s="4"/>
      <c r="D195" s="4"/>
      <c r="E195" s="4"/>
      <c r="F195" s="4"/>
      <c r="G195" s="4"/>
    </row>
    <row r="196" spans="1:7" ht="15.75" customHeight="1" x14ac:dyDescent="0.35">
      <c r="A196" s="4"/>
      <c r="B196" s="4"/>
      <c r="C196" s="4"/>
      <c r="D196" s="4"/>
      <c r="E196" s="4"/>
      <c r="F196" s="4"/>
      <c r="G196" s="4"/>
    </row>
    <row r="197" spans="1:7" ht="15.75" customHeight="1" x14ac:dyDescent="0.35">
      <c r="A197" s="4"/>
      <c r="B197" s="4"/>
      <c r="C197" s="4"/>
      <c r="D197" s="4"/>
      <c r="E197" s="4"/>
      <c r="F197" s="4"/>
      <c r="G197" s="4"/>
    </row>
    <row r="198" spans="1:7" ht="15.75" customHeight="1" x14ac:dyDescent="0.35">
      <c r="A198" s="4"/>
      <c r="B198" s="4"/>
      <c r="C198" s="4"/>
      <c r="D198" s="4"/>
      <c r="E198" s="4"/>
      <c r="F198" s="4"/>
      <c r="G198" s="4"/>
    </row>
    <row r="199" spans="1:7" ht="15.75" customHeight="1" x14ac:dyDescent="0.35">
      <c r="A199" s="4"/>
      <c r="B199" s="4"/>
      <c r="C199" s="4"/>
      <c r="D199" s="4"/>
      <c r="E199" s="4"/>
      <c r="F199" s="4"/>
      <c r="G199" s="4"/>
    </row>
    <row r="200" spans="1:7" ht="15.75" customHeight="1" x14ac:dyDescent="0.35">
      <c r="A200" s="4"/>
      <c r="B200" s="4"/>
      <c r="C200" s="4"/>
      <c r="D200" s="4"/>
      <c r="E200" s="4"/>
      <c r="F200" s="4"/>
      <c r="G200" s="4"/>
    </row>
    <row r="201" spans="1:7" ht="15.75" customHeight="1" x14ac:dyDescent="0.35">
      <c r="A201" s="4"/>
      <c r="B201" s="4"/>
      <c r="C201" s="4"/>
      <c r="D201" s="4"/>
      <c r="E201" s="4"/>
      <c r="F201" s="4"/>
      <c r="G201" s="4"/>
    </row>
    <row r="202" spans="1:7" ht="15.75" customHeight="1" x14ac:dyDescent="0.35">
      <c r="A202" s="4"/>
      <c r="B202" s="4"/>
      <c r="C202" s="4"/>
      <c r="D202" s="4"/>
      <c r="E202" s="4"/>
      <c r="F202" s="4"/>
      <c r="G202" s="4"/>
    </row>
    <row r="203" spans="1:7" ht="15.75" customHeight="1" x14ac:dyDescent="0.35">
      <c r="A203" s="4"/>
      <c r="B203" s="4"/>
      <c r="C203" s="4"/>
      <c r="D203" s="4"/>
      <c r="E203" s="4"/>
      <c r="F203" s="4"/>
      <c r="G203" s="4"/>
    </row>
    <row r="204" spans="1:7" ht="15.75" customHeight="1" x14ac:dyDescent="0.35">
      <c r="A204" s="4"/>
      <c r="B204" s="4"/>
      <c r="C204" s="4"/>
      <c r="D204" s="4"/>
      <c r="E204" s="4"/>
      <c r="F204" s="4"/>
      <c r="G204" s="4"/>
    </row>
    <row r="205" spans="1:7" ht="15.75" customHeight="1" x14ac:dyDescent="0.35">
      <c r="A205" s="4"/>
      <c r="B205" s="4"/>
      <c r="C205" s="4"/>
      <c r="D205" s="4"/>
      <c r="E205" s="4"/>
      <c r="F205" s="4"/>
      <c r="G205" s="4"/>
    </row>
    <row r="206" spans="1:7" ht="15.75" customHeight="1" x14ac:dyDescent="0.35">
      <c r="A206" s="4"/>
      <c r="B206" s="4"/>
      <c r="C206" s="4"/>
      <c r="D206" s="4"/>
      <c r="E206" s="4"/>
      <c r="F206" s="4"/>
      <c r="G206" s="4"/>
    </row>
    <row r="207" spans="1:7" ht="15.75" customHeight="1" x14ac:dyDescent="0.35">
      <c r="A207" s="4"/>
      <c r="B207" s="4"/>
      <c r="C207" s="4"/>
      <c r="D207" s="4"/>
      <c r="E207" s="4"/>
      <c r="F207" s="4"/>
      <c r="G207" s="4"/>
    </row>
    <row r="208" spans="1:7" ht="15.75" customHeight="1" x14ac:dyDescent="0.35">
      <c r="A208" s="4"/>
      <c r="B208" s="4"/>
      <c r="C208" s="4"/>
      <c r="D208" s="4"/>
      <c r="E208" s="4"/>
      <c r="F208" s="4"/>
      <c r="G208" s="4"/>
    </row>
    <row r="209" spans="1:7" ht="15.75" customHeight="1" x14ac:dyDescent="0.35">
      <c r="A209" s="4"/>
      <c r="B209" s="4"/>
      <c r="C209" s="4"/>
      <c r="D209" s="4"/>
      <c r="E209" s="4"/>
      <c r="F209" s="4"/>
      <c r="G209" s="4"/>
    </row>
    <row r="210" spans="1:7" ht="15.75" customHeight="1" x14ac:dyDescent="0.35">
      <c r="A210" s="4"/>
      <c r="B210" s="4"/>
      <c r="C210" s="4"/>
      <c r="D210" s="4"/>
      <c r="E210" s="4"/>
      <c r="F210" s="4"/>
      <c r="G210" s="4"/>
    </row>
    <row r="211" spans="1:7" ht="15.75" customHeight="1" x14ac:dyDescent="0.35">
      <c r="A211" s="4"/>
      <c r="B211" s="4"/>
      <c r="C211" s="4"/>
      <c r="D211" s="4"/>
      <c r="E211" s="4"/>
      <c r="F211" s="4"/>
      <c r="G211" s="4"/>
    </row>
    <row r="212" spans="1:7" ht="15.75" customHeight="1" x14ac:dyDescent="0.35">
      <c r="A212" s="4"/>
      <c r="B212" s="4"/>
      <c r="C212" s="4"/>
      <c r="D212" s="4"/>
      <c r="E212" s="4"/>
      <c r="F212" s="4"/>
      <c r="G212" s="4"/>
    </row>
    <row r="213" spans="1:7" ht="15.75" customHeight="1" x14ac:dyDescent="0.35">
      <c r="A213" s="4"/>
      <c r="B213" s="4"/>
      <c r="C213" s="4"/>
      <c r="D213" s="4"/>
      <c r="E213" s="4"/>
      <c r="F213" s="4"/>
      <c r="G213" s="4"/>
    </row>
    <row r="214" spans="1:7" ht="15.75" customHeight="1" x14ac:dyDescent="0.35">
      <c r="A214" s="4"/>
      <c r="B214" s="4"/>
      <c r="C214" s="4"/>
      <c r="D214" s="4"/>
      <c r="E214" s="4"/>
      <c r="F214" s="4"/>
      <c r="G214" s="4"/>
    </row>
    <row r="215" spans="1:7" ht="15.75" customHeight="1" x14ac:dyDescent="0.35">
      <c r="A215" s="4"/>
      <c r="B215" s="4"/>
      <c r="C215" s="4"/>
      <c r="D215" s="4"/>
      <c r="E215" s="4"/>
      <c r="F215" s="4"/>
      <c r="G215" s="4"/>
    </row>
    <row r="216" spans="1:7" ht="15.75" customHeight="1" x14ac:dyDescent="0.35">
      <c r="A216" s="4"/>
      <c r="B216" s="4"/>
      <c r="C216" s="4"/>
      <c r="D216" s="4"/>
      <c r="E216" s="4"/>
      <c r="F216" s="4"/>
      <c r="G216" s="4"/>
    </row>
    <row r="217" spans="1:7" ht="15.75" customHeight="1" x14ac:dyDescent="0.35">
      <c r="A217" s="4"/>
      <c r="B217" s="4"/>
      <c r="C217" s="4"/>
      <c r="D217" s="4"/>
      <c r="E217" s="4"/>
      <c r="F217" s="4"/>
      <c r="G217" s="4"/>
    </row>
    <row r="218" spans="1:7" ht="15.75" customHeight="1" x14ac:dyDescent="0.35">
      <c r="A218" s="4"/>
      <c r="B218" s="4"/>
      <c r="C218" s="4"/>
      <c r="D218" s="4"/>
      <c r="E218" s="4"/>
      <c r="F218" s="4"/>
      <c r="G218" s="4"/>
    </row>
    <row r="219" spans="1:7" ht="15.75" customHeight="1" x14ac:dyDescent="0.35">
      <c r="A219" s="4"/>
      <c r="B219" s="4"/>
      <c r="C219" s="4"/>
      <c r="D219" s="4"/>
      <c r="E219" s="4"/>
      <c r="F219" s="4"/>
      <c r="G219" s="4"/>
    </row>
    <row r="220" spans="1:7" ht="15.75" customHeight="1" x14ac:dyDescent="0.35">
      <c r="A220" s="4"/>
      <c r="B220" s="4"/>
      <c r="C220" s="4"/>
      <c r="D220" s="4"/>
      <c r="E220" s="4"/>
      <c r="F220" s="4"/>
      <c r="G220" s="4"/>
    </row>
    <row r="221" spans="1:7" ht="15.75" customHeight="1" x14ac:dyDescent="0.35">
      <c r="A221" s="4"/>
      <c r="B221" s="4"/>
      <c r="C221" s="4"/>
      <c r="D221" s="4"/>
      <c r="E221" s="4"/>
      <c r="F221" s="4"/>
      <c r="G221" s="4"/>
    </row>
    <row r="222" spans="1:7" ht="15.75" customHeight="1" x14ac:dyDescent="0.35">
      <c r="A222" s="4"/>
      <c r="B222" s="4"/>
      <c r="C222" s="4"/>
      <c r="D222" s="4"/>
      <c r="E222" s="4"/>
      <c r="F222" s="4"/>
      <c r="G222" s="4"/>
    </row>
    <row r="223" spans="1:7" ht="15.75" customHeight="1" x14ac:dyDescent="0.35">
      <c r="A223" s="4"/>
      <c r="B223" s="4"/>
      <c r="C223" s="4"/>
      <c r="D223" s="4"/>
      <c r="E223" s="4"/>
      <c r="F223" s="4"/>
      <c r="G223" s="4"/>
    </row>
    <row r="224" spans="1:7" ht="15.75" customHeight="1" x14ac:dyDescent="0.35">
      <c r="A224" s="4"/>
      <c r="B224" s="4"/>
      <c r="C224" s="4"/>
      <c r="D224" s="4"/>
      <c r="E224" s="4"/>
      <c r="F224" s="4"/>
      <c r="G224" s="4"/>
    </row>
    <row r="225" spans="1:7" ht="15.75" customHeight="1" x14ac:dyDescent="0.35">
      <c r="A225" s="4"/>
      <c r="B225" s="4"/>
      <c r="C225" s="4"/>
      <c r="D225" s="4"/>
      <c r="E225" s="4"/>
      <c r="F225" s="4"/>
      <c r="G225" s="4"/>
    </row>
    <row r="226" spans="1:7" ht="15.75" customHeight="1" x14ac:dyDescent="0.35">
      <c r="A226" s="4"/>
      <c r="B226" s="4"/>
      <c r="C226" s="4"/>
      <c r="D226" s="4"/>
      <c r="E226" s="4"/>
      <c r="F226" s="4"/>
      <c r="G226" s="4"/>
    </row>
    <row r="227" spans="1:7" ht="15.75" customHeight="1" x14ac:dyDescent="0.35">
      <c r="A227" s="4"/>
      <c r="B227" s="4"/>
      <c r="C227" s="4"/>
      <c r="D227" s="4"/>
      <c r="E227" s="4"/>
      <c r="F227" s="4"/>
      <c r="G227" s="4"/>
    </row>
    <row r="228" spans="1:7" ht="15.75" customHeight="1" x14ac:dyDescent="0.35">
      <c r="A228" s="4"/>
      <c r="B228" s="4"/>
      <c r="C228" s="4"/>
      <c r="D228" s="4"/>
      <c r="E228" s="4"/>
      <c r="F228" s="4"/>
      <c r="G228" s="4"/>
    </row>
    <row r="229" spans="1:7" ht="15.75" customHeight="1" x14ac:dyDescent="0.35">
      <c r="A229" s="4"/>
      <c r="B229" s="4"/>
      <c r="C229" s="4"/>
      <c r="D229" s="4"/>
      <c r="E229" s="4"/>
      <c r="F229" s="4"/>
      <c r="G229" s="4"/>
    </row>
    <row r="230" spans="1:7" ht="15.75" customHeight="1" x14ac:dyDescent="0.35">
      <c r="A230" s="4"/>
      <c r="B230" s="4"/>
      <c r="C230" s="4"/>
      <c r="D230" s="4"/>
      <c r="E230" s="4"/>
      <c r="F230" s="4"/>
      <c r="G230" s="4"/>
    </row>
    <row r="231" spans="1:7" ht="15.75" customHeight="1" x14ac:dyDescent="0.35">
      <c r="A231" s="4"/>
      <c r="B231" s="4"/>
      <c r="C231" s="4"/>
      <c r="D231" s="4"/>
      <c r="E231" s="4"/>
      <c r="F231" s="4"/>
      <c r="G231" s="4"/>
    </row>
    <row r="232" spans="1:7" ht="15.75" customHeight="1" x14ac:dyDescent="0.35">
      <c r="A232" s="4"/>
      <c r="B232" s="4"/>
      <c r="C232" s="4"/>
      <c r="D232" s="4"/>
      <c r="E232" s="4"/>
      <c r="F232" s="4"/>
      <c r="G232" s="4"/>
    </row>
    <row r="233" spans="1:7" ht="15.75" customHeight="1" x14ac:dyDescent="0.35">
      <c r="A233" s="4"/>
      <c r="B233" s="4"/>
      <c r="C233" s="4"/>
      <c r="D233" s="4"/>
      <c r="E233" s="4"/>
      <c r="F233" s="4"/>
      <c r="G233" s="4"/>
    </row>
    <row r="234" spans="1:7" ht="15.75" customHeight="1" x14ac:dyDescent="0.35">
      <c r="A234" s="4"/>
      <c r="B234" s="4"/>
      <c r="C234" s="4"/>
      <c r="D234" s="4"/>
      <c r="E234" s="4"/>
      <c r="F234" s="4"/>
      <c r="G234" s="4"/>
    </row>
    <row r="235" spans="1:7" ht="15.75" customHeight="1" x14ac:dyDescent="0.35">
      <c r="A235" s="4"/>
      <c r="B235" s="4"/>
      <c r="C235" s="4"/>
      <c r="D235" s="4"/>
      <c r="E235" s="4"/>
      <c r="F235" s="4"/>
      <c r="G235" s="4"/>
    </row>
    <row r="236" spans="1:7" ht="15.75" customHeight="1" x14ac:dyDescent="0.35">
      <c r="A236" s="4"/>
      <c r="B236" s="4"/>
      <c r="C236" s="4"/>
      <c r="D236" s="4"/>
      <c r="E236" s="4"/>
      <c r="F236" s="4"/>
      <c r="G236" s="4"/>
    </row>
    <row r="237" spans="1:7" ht="15.75" customHeight="1" x14ac:dyDescent="0.35">
      <c r="A237" s="4"/>
      <c r="B237" s="4"/>
      <c r="C237" s="4"/>
      <c r="D237" s="4"/>
      <c r="E237" s="4"/>
      <c r="F237" s="4"/>
      <c r="G237" s="4"/>
    </row>
    <row r="238" spans="1:7" ht="15.75" customHeight="1" x14ac:dyDescent="0.35">
      <c r="A238" s="4"/>
      <c r="B238" s="4"/>
      <c r="C238" s="4"/>
      <c r="D238" s="4"/>
      <c r="E238" s="4"/>
      <c r="F238" s="4"/>
      <c r="G238" s="4"/>
    </row>
    <row r="239" spans="1:7" ht="15.75" customHeight="1" x14ac:dyDescent="0.35">
      <c r="A239" s="4"/>
      <c r="B239" s="4"/>
      <c r="C239" s="4"/>
      <c r="D239" s="4"/>
      <c r="E239" s="4"/>
      <c r="F239" s="4"/>
      <c r="G239" s="4"/>
    </row>
    <row r="240" spans="1:7" ht="15.75" customHeight="1" x14ac:dyDescent="0.35">
      <c r="A240" s="4"/>
      <c r="B240" s="4"/>
      <c r="C240" s="4"/>
      <c r="D240" s="4"/>
      <c r="E240" s="4"/>
      <c r="F240" s="4"/>
      <c r="G240" s="4"/>
    </row>
    <row r="241" spans="1:7" ht="15.75" customHeight="1" x14ac:dyDescent="0.35">
      <c r="A241" s="4"/>
      <c r="B241" s="4"/>
      <c r="C241" s="4"/>
      <c r="D241" s="4"/>
      <c r="E241" s="4"/>
      <c r="F241" s="4"/>
      <c r="G241" s="4"/>
    </row>
    <row r="242" spans="1:7" ht="15.75" customHeight="1" x14ac:dyDescent="0.35">
      <c r="A242" s="4"/>
      <c r="B242" s="4"/>
      <c r="C242" s="4"/>
      <c r="D242" s="4"/>
      <c r="E242" s="4"/>
      <c r="F242" s="4"/>
      <c r="G242" s="4"/>
    </row>
    <row r="243" spans="1:7" ht="15.75" customHeight="1" x14ac:dyDescent="0.35">
      <c r="A243" s="4"/>
      <c r="B243" s="4"/>
      <c r="C243" s="4"/>
      <c r="D243" s="4"/>
      <c r="E243" s="4"/>
      <c r="F243" s="4"/>
      <c r="G243" s="4"/>
    </row>
    <row r="244" spans="1:7" ht="15.75" customHeight="1" x14ac:dyDescent="0.35">
      <c r="A244" s="4"/>
      <c r="B244" s="4"/>
      <c r="C244" s="4"/>
      <c r="D244" s="4"/>
      <c r="E244" s="4"/>
      <c r="F244" s="4"/>
      <c r="G244" s="4"/>
    </row>
    <row r="245" spans="1:7" ht="15.75" customHeight="1" x14ac:dyDescent="0.35">
      <c r="A245" s="4"/>
      <c r="B245" s="4"/>
      <c r="C245" s="4"/>
      <c r="D245" s="4"/>
      <c r="E245" s="4"/>
      <c r="F245" s="4"/>
      <c r="G245" s="4"/>
    </row>
    <row r="246" spans="1:7" ht="15.75" customHeight="1" x14ac:dyDescent="0.35">
      <c r="A246" s="4"/>
      <c r="B246" s="4"/>
      <c r="C246" s="4"/>
      <c r="D246" s="4"/>
      <c r="E246" s="4"/>
      <c r="F246" s="4"/>
      <c r="G246" s="4"/>
    </row>
    <row r="247" spans="1:7" ht="15.75" customHeight="1" x14ac:dyDescent="0.35">
      <c r="A247" s="4"/>
      <c r="B247" s="4"/>
      <c r="C247" s="4"/>
      <c r="D247" s="4"/>
      <c r="E247" s="4"/>
      <c r="F247" s="4"/>
      <c r="G247" s="4"/>
    </row>
    <row r="248" spans="1:7" ht="15.75" customHeight="1" x14ac:dyDescent="0.35">
      <c r="A248" s="4"/>
      <c r="B248" s="4"/>
      <c r="C248" s="4"/>
      <c r="D248" s="4"/>
      <c r="E248" s="4"/>
      <c r="F248" s="4"/>
      <c r="G248" s="4"/>
    </row>
    <row r="249" spans="1:7" ht="15.75" customHeight="1" x14ac:dyDescent="0.35">
      <c r="A249" s="4"/>
      <c r="B249" s="4"/>
      <c r="C249" s="4"/>
      <c r="D249" s="4"/>
      <c r="E249" s="4"/>
      <c r="F249" s="4"/>
      <c r="G249" s="4"/>
    </row>
    <row r="250" spans="1:7" ht="15.75" customHeight="1" x14ac:dyDescent="0.35">
      <c r="A250" s="4"/>
      <c r="B250" s="4"/>
      <c r="C250" s="4"/>
      <c r="D250" s="4"/>
      <c r="E250" s="4"/>
      <c r="F250" s="4"/>
      <c r="G250" s="4"/>
    </row>
    <row r="251" spans="1:7" ht="15.75" customHeight="1" x14ac:dyDescent="0.35">
      <c r="A251" s="4"/>
      <c r="B251" s="4"/>
      <c r="C251" s="4"/>
      <c r="D251" s="4"/>
      <c r="E251" s="4"/>
      <c r="F251" s="4"/>
      <c r="G251" s="4"/>
    </row>
    <row r="252" spans="1:7" ht="15.75" customHeight="1" x14ac:dyDescent="0.35">
      <c r="A252" s="4"/>
      <c r="B252" s="4"/>
      <c r="C252" s="4"/>
      <c r="D252" s="4"/>
      <c r="E252" s="4"/>
      <c r="F252" s="4"/>
      <c r="G252" s="4"/>
    </row>
    <row r="253" spans="1:7" ht="15.75" customHeight="1" x14ac:dyDescent="0.35">
      <c r="A253" s="4"/>
      <c r="B253" s="4"/>
      <c r="C253" s="4"/>
      <c r="D253" s="4"/>
      <c r="E253" s="4"/>
      <c r="F253" s="4"/>
      <c r="G253" s="4"/>
    </row>
    <row r="254" spans="1:7" ht="15.75" customHeight="1" x14ac:dyDescent="0.35">
      <c r="A254" s="4"/>
      <c r="B254" s="4"/>
      <c r="C254" s="4"/>
      <c r="D254" s="4"/>
      <c r="E254" s="4"/>
      <c r="F254" s="4"/>
      <c r="G254" s="4"/>
    </row>
    <row r="255" spans="1:7" ht="15.75" customHeight="1" x14ac:dyDescent="0.35">
      <c r="A255" s="4"/>
      <c r="B255" s="4"/>
      <c r="C255" s="4"/>
      <c r="D255" s="4"/>
      <c r="E255" s="4"/>
      <c r="F255" s="4"/>
      <c r="G255" s="4"/>
    </row>
    <row r="256" spans="1:7" ht="15.75" customHeight="1" x14ac:dyDescent="0.35">
      <c r="A256" s="4"/>
      <c r="B256" s="4"/>
      <c r="C256" s="4"/>
      <c r="D256" s="4"/>
      <c r="E256" s="4"/>
      <c r="F256" s="4"/>
      <c r="G256" s="4"/>
    </row>
    <row r="257" spans="1:7" ht="15.75" customHeight="1" x14ac:dyDescent="0.35">
      <c r="A257" s="4"/>
      <c r="B257" s="4"/>
      <c r="C257" s="4"/>
      <c r="D257" s="4"/>
      <c r="E257" s="4"/>
      <c r="F257" s="4"/>
      <c r="G257" s="4"/>
    </row>
    <row r="258" spans="1:7" ht="15.75" customHeight="1" x14ac:dyDescent="0.35">
      <c r="A258" s="4"/>
      <c r="B258" s="4"/>
      <c r="C258" s="4"/>
      <c r="D258" s="4"/>
      <c r="E258" s="4"/>
      <c r="F258" s="4"/>
      <c r="G258" s="4"/>
    </row>
    <row r="259" spans="1:7" ht="15.75" customHeight="1" x14ac:dyDescent="0.35">
      <c r="A259" s="4"/>
      <c r="B259" s="4"/>
      <c r="C259" s="4"/>
      <c r="D259" s="4"/>
      <c r="E259" s="4"/>
      <c r="F259" s="4"/>
      <c r="G259" s="4"/>
    </row>
    <row r="260" spans="1:7" ht="15.75" customHeight="1" x14ac:dyDescent="0.35">
      <c r="A260" s="4"/>
      <c r="B260" s="4"/>
      <c r="C260" s="4"/>
      <c r="D260" s="4"/>
      <c r="E260" s="4"/>
      <c r="F260" s="4"/>
      <c r="G260" s="4"/>
    </row>
    <row r="261" spans="1:7" ht="15.75" customHeight="1" x14ac:dyDescent="0.35">
      <c r="A261" s="4"/>
      <c r="B261" s="4"/>
      <c r="C261" s="4"/>
      <c r="D261" s="4"/>
      <c r="E261" s="4"/>
      <c r="F261" s="4"/>
      <c r="G261" s="4"/>
    </row>
    <row r="262" spans="1:7" ht="15.75" customHeight="1" x14ac:dyDescent="0.35">
      <c r="A262" s="4"/>
      <c r="B262" s="4"/>
      <c r="C262" s="4"/>
      <c r="D262" s="4"/>
      <c r="E262" s="4"/>
      <c r="F262" s="4"/>
      <c r="G262" s="4"/>
    </row>
    <row r="263" spans="1:7" ht="15.75" customHeight="1" x14ac:dyDescent="0.35">
      <c r="A263" s="4"/>
      <c r="B263" s="4"/>
      <c r="C263" s="4"/>
      <c r="D263" s="4"/>
      <c r="E263" s="4"/>
      <c r="F263" s="4"/>
      <c r="G263" s="4"/>
    </row>
    <row r="264" spans="1:7" ht="15.75" customHeight="1" x14ac:dyDescent="0.35">
      <c r="A264" s="4"/>
      <c r="B264" s="4"/>
      <c r="C264" s="4"/>
      <c r="D264" s="4"/>
      <c r="E264" s="4"/>
      <c r="F264" s="4"/>
      <c r="G264" s="4"/>
    </row>
    <row r="265" spans="1:7" ht="15.75" customHeight="1" x14ac:dyDescent="0.35">
      <c r="A265" s="4"/>
      <c r="B265" s="4"/>
      <c r="C265" s="4"/>
      <c r="D265" s="4"/>
      <c r="E265" s="4"/>
      <c r="F265" s="4"/>
      <c r="G265" s="4"/>
    </row>
    <row r="266" spans="1:7" ht="15.75" customHeight="1" x14ac:dyDescent="0.35">
      <c r="A266" s="4"/>
      <c r="B266" s="4"/>
      <c r="C266" s="4"/>
      <c r="D266" s="4"/>
      <c r="E266" s="4"/>
      <c r="F266" s="4"/>
      <c r="G266" s="4"/>
    </row>
    <row r="267" spans="1:7" ht="15.75" customHeight="1" x14ac:dyDescent="0.35">
      <c r="A267" s="4"/>
      <c r="B267" s="4"/>
      <c r="C267" s="4"/>
      <c r="D267" s="4"/>
      <c r="E267" s="4"/>
      <c r="F267" s="4"/>
      <c r="G267" s="4"/>
    </row>
    <row r="268" spans="1:7" ht="15.75" customHeight="1" x14ac:dyDescent="0.35">
      <c r="A268" s="4"/>
      <c r="B268" s="4"/>
      <c r="C268" s="4"/>
      <c r="D268" s="4"/>
      <c r="E268" s="4"/>
      <c r="F268" s="4"/>
      <c r="G268" s="4"/>
    </row>
    <row r="269" spans="1:7" ht="15.75" customHeight="1" x14ac:dyDescent="0.35">
      <c r="A269" s="4"/>
      <c r="B269" s="4"/>
      <c r="C269" s="4"/>
      <c r="D269" s="4"/>
      <c r="E269" s="4"/>
      <c r="F269" s="4"/>
      <c r="G269" s="4"/>
    </row>
    <row r="270" spans="1:7" ht="15.75" customHeight="1" x14ac:dyDescent="0.35">
      <c r="A270" s="4"/>
      <c r="B270" s="4"/>
      <c r="C270" s="4"/>
      <c r="D270" s="4"/>
      <c r="E270" s="4"/>
      <c r="F270" s="4"/>
      <c r="G270" s="4"/>
    </row>
    <row r="271" spans="1:7" ht="15.75" customHeight="1" x14ac:dyDescent="0.35">
      <c r="A271" s="4"/>
      <c r="B271" s="4"/>
      <c r="C271" s="4"/>
      <c r="D271" s="4"/>
      <c r="E271" s="4"/>
      <c r="F271" s="4"/>
      <c r="G271" s="4"/>
    </row>
    <row r="272" spans="1:7" ht="15.75" customHeight="1" x14ac:dyDescent="0.35">
      <c r="A272" s="4"/>
      <c r="B272" s="4"/>
      <c r="C272" s="4"/>
      <c r="D272" s="4"/>
      <c r="E272" s="4"/>
      <c r="F272" s="4"/>
      <c r="G272" s="4"/>
    </row>
    <row r="273" spans="1:7" ht="15.75" customHeight="1" x14ac:dyDescent="0.35">
      <c r="A273" s="4"/>
      <c r="B273" s="4"/>
      <c r="C273" s="4"/>
      <c r="D273" s="4"/>
      <c r="E273" s="4"/>
      <c r="F273" s="4"/>
      <c r="G273" s="4"/>
    </row>
    <row r="274" spans="1:7" ht="15.75" customHeight="1" x14ac:dyDescent="0.35">
      <c r="A274" s="4"/>
      <c r="B274" s="4"/>
      <c r="C274" s="4"/>
      <c r="D274" s="4"/>
      <c r="E274" s="4"/>
      <c r="F274" s="4"/>
      <c r="G274" s="4"/>
    </row>
    <row r="275" spans="1:7" ht="15.75" customHeight="1" x14ac:dyDescent="0.35">
      <c r="A275" s="4"/>
      <c r="B275" s="4"/>
      <c r="C275" s="4"/>
      <c r="D275" s="4"/>
      <c r="E275" s="4"/>
      <c r="F275" s="4"/>
      <c r="G275" s="4"/>
    </row>
    <row r="276" spans="1:7" ht="15.75" customHeight="1" x14ac:dyDescent="0.35">
      <c r="A276" s="4"/>
      <c r="B276" s="4"/>
      <c r="C276" s="4"/>
      <c r="D276" s="4"/>
      <c r="E276" s="4"/>
      <c r="F276" s="4"/>
      <c r="G276" s="4"/>
    </row>
    <row r="277" spans="1:7" ht="15.75" customHeight="1" x14ac:dyDescent="0.35">
      <c r="A277" s="4"/>
      <c r="B277" s="4"/>
      <c r="C277" s="4"/>
      <c r="D277" s="4"/>
      <c r="E277" s="4"/>
      <c r="F277" s="4"/>
      <c r="G277" s="4"/>
    </row>
    <row r="278" spans="1:7" ht="15.75" customHeight="1" x14ac:dyDescent="0.35">
      <c r="A278" s="4"/>
      <c r="B278" s="4"/>
      <c r="C278" s="4"/>
      <c r="D278" s="4"/>
      <c r="E278" s="4"/>
      <c r="F278" s="4"/>
      <c r="G278" s="4"/>
    </row>
    <row r="279" spans="1:7" ht="15.75" customHeight="1" x14ac:dyDescent="0.35">
      <c r="A279" s="4"/>
      <c r="B279" s="4"/>
      <c r="C279" s="4"/>
      <c r="D279" s="4"/>
      <c r="E279" s="4"/>
      <c r="F279" s="4"/>
      <c r="G279" s="4"/>
    </row>
    <row r="280" spans="1:7" ht="15.75" customHeight="1" x14ac:dyDescent="0.35">
      <c r="A280" s="4"/>
      <c r="B280" s="4"/>
      <c r="C280" s="4"/>
      <c r="D280" s="4"/>
      <c r="E280" s="4"/>
      <c r="F280" s="4"/>
      <c r="G280" s="4"/>
    </row>
    <row r="281" spans="1:7" ht="15.75" customHeight="1" x14ac:dyDescent="0.35">
      <c r="A281" s="4"/>
      <c r="B281" s="4"/>
      <c r="C281" s="4"/>
      <c r="D281" s="4"/>
      <c r="E281" s="4"/>
      <c r="F281" s="4"/>
      <c r="G281" s="4"/>
    </row>
    <row r="282" spans="1:7" ht="15.75" customHeight="1" x14ac:dyDescent="0.35">
      <c r="A282" s="4"/>
      <c r="B282" s="4"/>
      <c r="C282" s="4"/>
      <c r="D282" s="4"/>
      <c r="E282" s="4"/>
      <c r="F282" s="4"/>
      <c r="G282" s="4"/>
    </row>
    <row r="283" spans="1:7" ht="15.75" customHeight="1" x14ac:dyDescent="0.35">
      <c r="A283" s="4"/>
      <c r="B283" s="4"/>
      <c r="C283" s="4"/>
      <c r="D283" s="4"/>
      <c r="E283" s="4"/>
      <c r="F283" s="4"/>
      <c r="G283" s="4"/>
    </row>
    <row r="284" spans="1:7" ht="15.75" customHeight="1" x14ac:dyDescent="0.35">
      <c r="A284" s="4"/>
      <c r="B284" s="4"/>
      <c r="C284" s="4"/>
      <c r="D284" s="4"/>
      <c r="E284" s="4"/>
      <c r="F284" s="4"/>
      <c r="G284" s="4"/>
    </row>
    <row r="285" spans="1:7" ht="15.75" customHeight="1" x14ac:dyDescent="0.35">
      <c r="A285" s="4"/>
      <c r="B285" s="4"/>
      <c r="C285" s="4"/>
      <c r="D285" s="4"/>
      <c r="E285" s="4"/>
      <c r="F285" s="4"/>
      <c r="G285" s="4"/>
    </row>
    <row r="286" spans="1:7" ht="15.75" customHeight="1" x14ac:dyDescent="0.35">
      <c r="A286" s="4"/>
      <c r="B286" s="4"/>
      <c r="C286" s="4"/>
      <c r="D286" s="4"/>
      <c r="E286" s="4"/>
      <c r="F286" s="4"/>
      <c r="G286" s="4"/>
    </row>
    <row r="287" spans="1:7" ht="15.75" customHeight="1" x14ac:dyDescent="0.35">
      <c r="A287" s="4"/>
      <c r="B287" s="4"/>
      <c r="C287" s="4"/>
      <c r="D287" s="4"/>
      <c r="E287" s="4"/>
      <c r="F287" s="4"/>
      <c r="G287" s="4"/>
    </row>
    <row r="288" spans="1:7" ht="15.75" customHeight="1" x14ac:dyDescent="0.35">
      <c r="A288" s="4"/>
      <c r="B288" s="4"/>
      <c r="C288" s="4"/>
      <c r="D288" s="4"/>
      <c r="E288" s="4"/>
      <c r="F288" s="4"/>
      <c r="G288" s="4"/>
    </row>
    <row r="289" spans="1:7" ht="15.75" customHeight="1" x14ac:dyDescent="0.35">
      <c r="A289" s="4"/>
      <c r="B289" s="4"/>
      <c r="C289" s="4"/>
      <c r="D289" s="4"/>
      <c r="E289" s="4"/>
      <c r="F289" s="4"/>
      <c r="G289" s="4"/>
    </row>
    <row r="290" spans="1:7" ht="15.75" customHeight="1" x14ac:dyDescent="0.35">
      <c r="A290" s="4"/>
      <c r="B290" s="4"/>
      <c r="C290" s="4"/>
      <c r="D290" s="4"/>
      <c r="E290" s="4"/>
      <c r="F290" s="4"/>
      <c r="G290" s="4"/>
    </row>
    <row r="291" spans="1:7" ht="15.75" customHeight="1" x14ac:dyDescent="0.35">
      <c r="A291" s="4"/>
      <c r="B291" s="4"/>
      <c r="C291" s="4"/>
      <c r="D291" s="4"/>
      <c r="E291" s="4"/>
      <c r="F291" s="4"/>
      <c r="G291" s="4"/>
    </row>
    <row r="292" spans="1:7" ht="15.75" customHeight="1" x14ac:dyDescent="0.35">
      <c r="A292" s="4"/>
      <c r="B292" s="4"/>
      <c r="C292" s="4"/>
      <c r="D292" s="4"/>
      <c r="E292" s="4"/>
      <c r="F292" s="4"/>
      <c r="G292" s="4"/>
    </row>
    <row r="293" spans="1:7" ht="15.75" customHeight="1" x14ac:dyDescent="0.35">
      <c r="A293" s="4"/>
      <c r="B293" s="4"/>
      <c r="C293" s="4"/>
      <c r="D293" s="4"/>
      <c r="E293" s="4"/>
      <c r="F293" s="4"/>
      <c r="G293" s="4"/>
    </row>
    <row r="294" spans="1:7" ht="15.75" customHeight="1" x14ac:dyDescent="0.35">
      <c r="A294" s="4"/>
      <c r="B294" s="4"/>
      <c r="C294" s="4"/>
      <c r="D294" s="4"/>
      <c r="E294" s="4"/>
      <c r="F294" s="4"/>
      <c r="G294" s="4"/>
    </row>
    <row r="295" spans="1:7" ht="15.75" customHeight="1" x14ac:dyDescent="0.35">
      <c r="A295" s="4"/>
      <c r="B295" s="4"/>
      <c r="C295" s="4"/>
      <c r="D295" s="4"/>
      <c r="E295" s="4"/>
      <c r="F295" s="4"/>
      <c r="G295" s="4"/>
    </row>
    <row r="296" spans="1:7" ht="15.75" customHeight="1" x14ac:dyDescent="0.35">
      <c r="A296" s="4"/>
      <c r="B296" s="4"/>
      <c r="C296" s="4"/>
      <c r="D296" s="4"/>
      <c r="E296" s="4"/>
      <c r="F296" s="4"/>
      <c r="G296" s="4"/>
    </row>
    <row r="297" spans="1:7" ht="15.75" customHeight="1" x14ac:dyDescent="0.35">
      <c r="A297" s="4"/>
      <c r="B297" s="4"/>
      <c r="C297" s="4"/>
      <c r="D297" s="4"/>
      <c r="E297" s="4"/>
      <c r="F297" s="4"/>
      <c r="G297" s="4"/>
    </row>
    <row r="298" spans="1:7" ht="15.75" customHeight="1" x14ac:dyDescent="0.35">
      <c r="A298" s="4"/>
      <c r="B298" s="4"/>
      <c r="C298" s="4"/>
      <c r="D298" s="4"/>
      <c r="E298" s="4"/>
      <c r="F298" s="4"/>
      <c r="G298" s="4"/>
    </row>
    <row r="299" spans="1:7" ht="15.75" customHeight="1" x14ac:dyDescent="0.35">
      <c r="A299" s="4"/>
      <c r="B299" s="4"/>
      <c r="C299" s="4"/>
      <c r="D299" s="4"/>
      <c r="E299" s="4"/>
      <c r="F299" s="4"/>
      <c r="G299" s="4"/>
    </row>
    <row r="300" spans="1:7" ht="15.75" customHeight="1" x14ac:dyDescent="0.35">
      <c r="A300" s="4"/>
      <c r="B300" s="4"/>
      <c r="C300" s="4"/>
      <c r="D300" s="4"/>
      <c r="E300" s="4"/>
      <c r="F300" s="4"/>
      <c r="G300" s="4"/>
    </row>
    <row r="301" spans="1:7" ht="15.75" customHeight="1" x14ac:dyDescent="0.35">
      <c r="A301" s="4"/>
      <c r="B301" s="4"/>
      <c r="C301" s="4"/>
      <c r="D301" s="4"/>
      <c r="E301" s="4"/>
      <c r="F301" s="4"/>
      <c r="G301" s="4"/>
    </row>
    <row r="302" spans="1:7" ht="15.75" customHeight="1" x14ac:dyDescent="0.35">
      <c r="A302" s="4"/>
      <c r="B302" s="4"/>
      <c r="C302" s="4"/>
      <c r="D302" s="4"/>
      <c r="E302" s="4"/>
      <c r="F302" s="4"/>
      <c r="G302" s="4"/>
    </row>
    <row r="303" spans="1:7" ht="15.75" customHeight="1" x14ac:dyDescent="0.35">
      <c r="A303" s="4"/>
      <c r="B303" s="4"/>
      <c r="C303" s="4"/>
      <c r="D303" s="4"/>
      <c r="E303" s="4"/>
      <c r="F303" s="4"/>
      <c r="G303" s="4"/>
    </row>
    <row r="304" spans="1:7" ht="15.75" customHeight="1" x14ac:dyDescent="0.35">
      <c r="A304" s="4"/>
      <c r="B304" s="4"/>
      <c r="C304" s="4"/>
      <c r="D304" s="4"/>
      <c r="E304" s="4"/>
      <c r="F304" s="4"/>
      <c r="G304" s="4"/>
    </row>
    <row r="305" spans="1:7" ht="15.75" customHeight="1" x14ac:dyDescent="0.35">
      <c r="A305" s="4"/>
      <c r="B305" s="4"/>
      <c r="C305" s="4"/>
      <c r="D305" s="4"/>
      <c r="E305" s="4"/>
      <c r="F305" s="4"/>
      <c r="G305" s="4"/>
    </row>
    <row r="306" spans="1:7" ht="15.75" customHeight="1" x14ac:dyDescent="0.35">
      <c r="A306" s="4"/>
      <c r="B306" s="4"/>
      <c r="C306" s="4"/>
      <c r="D306" s="4"/>
      <c r="E306" s="4"/>
      <c r="F306" s="4"/>
      <c r="G306" s="4"/>
    </row>
    <row r="307" spans="1:7" ht="15.75" customHeight="1" x14ac:dyDescent="0.35">
      <c r="A307" s="4"/>
      <c r="B307" s="4"/>
      <c r="C307" s="4"/>
      <c r="D307" s="4"/>
      <c r="E307" s="4"/>
      <c r="F307" s="4"/>
      <c r="G307" s="4"/>
    </row>
    <row r="308" spans="1:7" ht="15.75" customHeight="1" x14ac:dyDescent="0.35">
      <c r="A308" s="4"/>
      <c r="B308" s="4"/>
      <c r="C308" s="4"/>
      <c r="D308" s="4"/>
      <c r="E308" s="4"/>
      <c r="F308" s="4"/>
      <c r="G308" s="4"/>
    </row>
    <row r="309" spans="1:7" ht="15.75" customHeight="1" x14ac:dyDescent="0.35">
      <c r="A309" s="4"/>
      <c r="B309" s="4"/>
      <c r="C309" s="4"/>
      <c r="D309" s="4"/>
      <c r="E309" s="4"/>
      <c r="F309" s="4"/>
      <c r="G309" s="4"/>
    </row>
    <row r="310" spans="1:7" ht="15.75" customHeight="1" x14ac:dyDescent="0.35">
      <c r="A310" s="4"/>
      <c r="B310" s="4"/>
      <c r="C310" s="4"/>
      <c r="D310" s="4"/>
      <c r="E310" s="4"/>
      <c r="F310" s="4"/>
      <c r="G310" s="4"/>
    </row>
    <row r="311" spans="1:7" ht="15.75" customHeight="1" x14ac:dyDescent="0.35">
      <c r="A311" s="4"/>
      <c r="B311" s="4"/>
      <c r="C311" s="4"/>
      <c r="D311" s="4"/>
      <c r="E311" s="4"/>
      <c r="F311" s="4"/>
      <c r="G311" s="4"/>
    </row>
    <row r="312" spans="1:7" ht="15.75" customHeight="1" x14ac:dyDescent="0.35">
      <c r="A312" s="4"/>
      <c r="B312" s="4"/>
      <c r="C312" s="4"/>
      <c r="D312" s="4"/>
      <c r="E312" s="4"/>
      <c r="F312" s="4"/>
      <c r="G312" s="4"/>
    </row>
    <row r="313" spans="1:7" ht="15.75" customHeight="1" x14ac:dyDescent="0.35">
      <c r="A313" s="4"/>
      <c r="B313" s="4"/>
      <c r="C313" s="4"/>
      <c r="D313" s="4"/>
      <c r="E313" s="4"/>
      <c r="F313" s="4"/>
      <c r="G313" s="4"/>
    </row>
    <row r="314" spans="1:7" ht="15.75" customHeight="1" x14ac:dyDescent="0.35">
      <c r="A314" s="4"/>
      <c r="B314" s="4"/>
      <c r="C314" s="4"/>
      <c r="D314" s="4"/>
      <c r="E314" s="4"/>
      <c r="F314" s="4"/>
      <c r="G314" s="4"/>
    </row>
    <row r="315" spans="1:7" ht="15.75" customHeight="1" x14ac:dyDescent="0.35">
      <c r="A315" s="4"/>
      <c r="B315" s="4"/>
      <c r="C315" s="4"/>
      <c r="D315" s="4"/>
      <c r="E315" s="4"/>
      <c r="F315" s="4"/>
      <c r="G315" s="4"/>
    </row>
    <row r="316" spans="1:7" ht="15.75" customHeight="1" x14ac:dyDescent="0.35">
      <c r="A316" s="4"/>
      <c r="B316" s="4"/>
      <c r="C316" s="4"/>
      <c r="D316" s="4"/>
      <c r="E316" s="4"/>
      <c r="F316" s="4"/>
      <c r="G316" s="4"/>
    </row>
    <row r="317" spans="1:7" ht="15.75" customHeight="1" x14ac:dyDescent="0.35">
      <c r="A317" s="4"/>
      <c r="B317" s="4"/>
      <c r="C317" s="4"/>
      <c r="D317" s="4"/>
      <c r="E317" s="4"/>
      <c r="F317" s="4"/>
      <c r="G317" s="4"/>
    </row>
    <row r="318" spans="1:7" ht="15.75" customHeight="1" x14ac:dyDescent="0.35">
      <c r="A318" s="4"/>
      <c r="B318" s="4"/>
      <c r="C318" s="4"/>
      <c r="D318" s="4"/>
      <c r="E318" s="4"/>
      <c r="F318" s="4"/>
      <c r="G318" s="4"/>
    </row>
    <row r="319" spans="1:7" ht="15.75" customHeight="1" x14ac:dyDescent="0.35">
      <c r="A319" s="4"/>
      <c r="B319" s="4"/>
      <c r="C319" s="4"/>
      <c r="D319" s="4"/>
      <c r="E319" s="4"/>
      <c r="F319" s="4"/>
      <c r="G319" s="4"/>
    </row>
    <row r="320" spans="1:7" ht="15.75" customHeight="1" x14ac:dyDescent="0.35">
      <c r="A320" s="4"/>
      <c r="B320" s="4"/>
      <c r="C320" s="4"/>
      <c r="D320" s="4"/>
      <c r="E320" s="4"/>
      <c r="F320" s="4"/>
      <c r="G320" s="4"/>
    </row>
    <row r="321" spans="1:7" ht="15.75" customHeight="1" x14ac:dyDescent="0.35">
      <c r="A321" s="4"/>
      <c r="B321" s="4"/>
      <c r="C321" s="4"/>
      <c r="D321" s="4"/>
      <c r="E321" s="4"/>
      <c r="F321" s="4"/>
      <c r="G321" s="4"/>
    </row>
    <row r="322" spans="1:7" ht="15.75" customHeight="1" x14ac:dyDescent="0.35">
      <c r="A322" s="4"/>
      <c r="B322" s="4"/>
      <c r="C322" s="4"/>
      <c r="D322" s="4"/>
      <c r="E322" s="4"/>
      <c r="F322" s="4"/>
      <c r="G322" s="4"/>
    </row>
    <row r="323" spans="1:7" ht="15.75" customHeight="1" x14ac:dyDescent="0.35">
      <c r="A323" s="4"/>
      <c r="B323" s="4"/>
      <c r="C323" s="4"/>
      <c r="D323" s="4"/>
      <c r="E323" s="4"/>
      <c r="F323" s="4"/>
      <c r="G323" s="4"/>
    </row>
    <row r="324" spans="1:7" ht="15.75" customHeight="1" x14ac:dyDescent="0.35">
      <c r="A324" s="4"/>
      <c r="B324" s="4"/>
      <c r="C324" s="4"/>
      <c r="D324" s="4"/>
      <c r="E324" s="4"/>
      <c r="F324" s="4"/>
      <c r="G324" s="4"/>
    </row>
    <row r="325" spans="1:7" ht="15.75" customHeight="1" x14ac:dyDescent="0.35">
      <c r="A325" s="4"/>
      <c r="B325" s="4"/>
      <c r="C325" s="4"/>
      <c r="D325" s="4"/>
      <c r="E325" s="4"/>
      <c r="F325" s="4"/>
      <c r="G325" s="4"/>
    </row>
    <row r="326" spans="1:7" ht="15.75" customHeight="1" x14ac:dyDescent="0.35">
      <c r="A326" s="4"/>
      <c r="B326" s="4"/>
      <c r="C326" s="4"/>
      <c r="D326" s="4"/>
      <c r="E326" s="4"/>
      <c r="F326" s="4"/>
      <c r="G326" s="4"/>
    </row>
    <row r="327" spans="1:7" ht="15.75" customHeight="1" x14ac:dyDescent="0.35">
      <c r="A327" s="4"/>
      <c r="B327" s="4"/>
      <c r="C327" s="4"/>
      <c r="D327" s="4"/>
      <c r="E327" s="4"/>
      <c r="F327" s="4"/>
      <c r="G327" s="4"/>
    </row>
    <row r="328" spans="1:7" ht="15.75" customHeight="1" x14ac:dyDescent="0.35">
      <c r="A328" s="4"/>
      <c r="B328" s="4"/>
      <c r="C328" s="4"/>
      <c r="D328" s="4"/>
      <c r="E328" s="4"/>
      <c r="F328" s="4"/>
      <c r="G328" s="4"/>
    </row>
    <row r="329" spans="1:7" ht="15.75" customHeight="1" x14ac:dyDescent="0.35">
      <c r="A329" s="4"/>
      <c r="B329" s="4"/>
      <c r="C329" s="4"/>
      <c r="D329" s="4"/>
      <c r="E329" s="4"/>
      <c r="F329" s="4"/>
      <c r="G329" s="4"/>
    </row>
    <row r="330" spans="1:7" ht="15.75" customHeight="1" x14ac:dyDescent="0.35">
      <c r="A330" s="4"/>
      <c r="B330" s="4"/>
      <c r="C330" s="4"/>
      <c r="D330" s="4"/>
      <c r="E330" s="4"/>
      <c r="F330" s="4"/>
      <c r="G330" s="4"/>
    </row>
    <row r="331" spans="1:7" ht="15.75" customHeight="1" x14ac:dyDescent="0.35">
      <c r="A331" s="4"/>
      <c r="B331" s="4"/>
      <c r="C331" s="4"/>
      <c r="D331" s="4"/>
      <c r="E331" s="4"/>
      <c r="F331" s="4"/>
      <c r="G331" s="4"/>
    </row>
    <row r="332" spans="1:7" ht="15.75" customHeight="1" x14ac:dyDescent="0.35">
      <c r="A332" s="4"/>
      <c r="B332" s="4"/>
      <c r="C332" s="4"/>
      <c r="D332" s="4"/>
      <c r="E332" s="4"/>
      <c r="F332" s="4"/>
      <c r="G332" s="4"/>
    </row>
    <row r="333" spans="1:7" ht="15.75" customHeight="1" x14ac:dyDescent="0.35">
      <c r="A333" s="4"/>
      <c r="B333" s="4"/>
      <c r="C333" s="4"/>
      <c r="D333" s="4"/>
      <c r="E333" s="4"/>
      <c r="F333" s="4"/>
      <c r="G333" s="4"/>
    </row>
    <row r="334" spans="1:7" ht="15.75" customHeight="1" x14ac:dyDescent="0.35">
      <c r="A334" s="4"/>
      <c r="B334" s="4"/>
      <c r="C334" s="4"/>
      <c r="D334" s="4"/>
      <c r="E334" s="4"/>
      <c r="F334" s="4"/>
      <c r="G334" s="4"/>
    </row>
    <row r="335" spans="1:7" ht="15.75" customHeight="1" x14ac:dyDescent="0.35">
      <c r="A335" s="4"/>
      <c r="B335" s="4"/>
      <c r="C335" s="4"/>
      <c r="D335" s="4"/>
      <c r="E335" s="4"/>
      <c r="F335" s="4"/>
      <c r="G335" s="4"/>
    </row>
    <row r="336" spans="1:7" ht="15.75" customHeight="1" x14ac:dyDescent="0.35">
      <c r="A336" s="4"/>
      <c r="B336" s="4"/>
      <c r="C336" s="4"/>
      <c r="D336" s="4"/>
      <c r="E336" s="4"/>
      <c r="F336" s="4"/>
      <c r="G336" s="4"/>
    </row>
    <row r="337" spans="1:7" ht="15.75" customHeight="1" x14ac:dyDescent="0.35">
      <c r="A337" s="4"/>
      <c r="B337" s="4"/>
      <c r="C337" s="4"/>
      <c r="D337" s="4"/>
      <c r="E337" s="4"/>
      <c r="F337" s="4"/>
      <c r="G337" s="4"/>
    </row>
    <row r="338" spans="1:7" ht="15.75" customHeight="1" x14ac:dyDescent="0.35">
      <c r="A338" s="4"/>
      <c r="B338" s="4"/>
      <c r="C338" s="4"/>
      <c r="D338" s="4"/>
      <c r="E338" s="4"/>
      <c r="F338" s="4"/>
      <c r="G338" s="4"/>
    </row>
    <row r="339" spans="1:7" ht="15.75" customHeight="1" x14ac:dyDescent="0.35">
      <c r="A339" s="4"/>
      <c r="B339" s="4"/>
      <c r="C339" s="4"/>
      <c r="D339" s="4"/>
      <c r="E339" s="4"/>
      <c r="F339" s="4"/>
      <c r="G339" s="4"/>
    </row>
    <row r="340" spans="1:7" ht="15.75" customHeight="1" x14ac:dyDescent="0.35">
      <c r="A340" s="4"/>
      <c r="B340" s="4"/>
      <c r="C340" s="4"/>
      <c r="D340" s="4"/>
      <c r="E340" s="4"/>
      <c r="F340" s="4"/>
      <c r="G340" s="4"/>
    </row>
    <row r="341" spans="1:7" ht="15.75" customHeight="1" x14ac:dyDescent="0.35">
      <c r="A341" s="4"/>
      <c r="B341" s="4"/>
      <c r="C341" s="4"/>
      <c r="D341" s="4"/>
      <c r="E341" s="4"/>
      <c r="F341" s="4"/>
      <c r="G341" s="4"/>
    </row>
    <row r="342" spans="1:7" ht="15.75" customHeight="1" x14ac:dyDescent="0.35">
      <c r="A342" s="4"/>
      <c r="B342" s="4"/>
      <c r="C342" s="4"/>
      <c r="D342" s="4"/>
      <c r="E342" s="4"/>
      <c r="F342" s="4"/>
      <c r="G342" s="4"/>
    </row>
    <row r="343" spans="1:7" ht="15.75" customHeight="1" x14ac:dyDescent="0.35">
      <c r="A343" s="4"/>
      <c r="B343" s="4"/>
      <c r="C343" s="4"/>
      <c r="D343" s="4"/>
      <c r="E343" s="4"/>
      <c r="F343" s="4"/>
      <c r="G343" s="4"/>
    </row>
    <row r="344" spans="1:7" ht="15.75" customHeight="1" x14ac:dyDescent="0.35">
      <c r="A344" s="4"/>
      <c r="B344" s="4"/>
      <c r="C344" s="4"/>
      <c r="D344" s="4"/>
      <c r="E344" s="4"/>
      <c r="F344" s="4"/>
      <c r="G344" s="4"/>
    </row>
    <row r="345" spans="1:7" ht="15.75" customHeight="1" x14ac:dyDescent="0.35">
      <c r="A345" s="4"/>
      <c r="B345" s="4"/>
      <c r="C345" s="4"/>
      <c r="D345" s="4"/>
      <c r="E345" s="4"/>
      <c r="F345" s="4"/>
      <c r="G345" s="4"/>
    </row>
    <row r="346" spans="1:7" ht="15.75" customHeight="1" x14ac:dyDescent="0.35">
      <c r="A346" s="4"/>
      <c r="B346" s="4"/>
      <c r="C346" s="4"/>
      <c r="D346" s="4"/>
      <c r="E346" s="4"/>
      <c r="F346" s="4"/>
      <c r="G346" s="4"/>
    </row>
    <row r="347" spans="1:7" ht="15.75" customHeight="1" x14ac:dyDescent="0.35">
      <c r="A347" s="4"/>
      <c r="B347" s="4"/>
      <c r="C347" s="4"/>
      <c r="D347" s="4"/>
      <c r="E347" s="4"/>
      <c r="F347" s="4"/>
      <c r="G347" s="4"/>
    </row>
    <row r="348" spans="1:7" ht="15.75" customHeight="1" x14ac:dyDescent="0.35">
      <c r="A348" s="4"/>
      <c r="B348" s="4"/>
      <c r="C348" s="4"/>
      <c r="D348" s="4"/>
      <c r="E348" s="4"/>
      <c r="F348" s="4"/>
      <c r="G348" s="4"/>
    </row>
    <row r="349" spans="1:7" ht="15.75" customHeight="1" x14ac:dyDescent="0.35">
      <c r="A349" s="4"/>
      <c r="B349" s="4"/>
      <c r="C349" s="4"/>
      <c r="D349" s="4"/>
      <c r="E349" s="4"/>
      <c r="F349" s="4"/>
      <c r="G349" s="4"/>
    </row>
    <row r="350" spans="1:7" ht="15.75" customHeight="1" x14ac:dyDescent="0.35">
      <c r="A350" s="4"/>
      <c r="B350" s="4"/>
      <c r="C350" s="4"/>
      <c r="D350" s="4"/>
      <c r="E350" s="4"/>
      <c r="F350" s="4"/>
      <c r="G350" s="4"/>
    </row>
    <row r="351" spans="1:7" ht="15.75" customHeight="1" x14ac:dyDescent="0.35">
      <c r="A351" s="4"/>
      <c r="B351" s="4"/>
      <c r="C351" s="4"/>
      <c r="D351" s="4"/>
      <c r="E351" s="4"/>
      <c r="F351" s="4"/>
      <c r="G351" s="4"/>
    </row>
    <row r="352" spans="1:7" ht="15.75" customHeight="1" x14ac:dyDescent="0.35">
      <c r="A352" s="4"/>
      <c r="B352" s="4"/>
      <c r="C352" s="4"/>
      <c r="D352" s="4"/>
      <c r="E352" s="4"/>
      <c r="F352" s="4"/>
      <c r="G352" s="4"/>
    </row>
    <row r="353" spans="1:7" ht="15.75" customHeight="1" x14ac:dyDescent="0.35">
      <c r="A353" s="4"/>
      <c r="B353" s="4"/>
      <c r="C353" s="4"/>
      <c r="D353" s="4"/>
      <c r="E353" s="4"/>
      <c r="F353" s="4"/>
      <c r="G353" s="4"/>
    </row>
    <row r="354" spans="1:7" ht="15.75" customHeight="1" x14ac:dyDescent="0.35">
      <c r="A354" s="4"/>
      <c r="B354" s="4"/>
      <c r="C354" s="4"/>
      <c r="D354" s="4"/>
      <c r="E354" s="4"/>
      <c r="F354" s="4"/>
      <c r="G354" s="4"/>
    </row>
    <row r="355" spans="1:7" ht="15.75" customHeight="1" x14ac:dyDescent="0.35">
      <c r="A355" s="4"/>
      <c r="B355" s="4"/>
      <c r="C355" s="4"/>
      <c r="D355" s="4"/>
      <c r="E355" s="4"/>
      <c r="F355" s="4"/>
      <c r="G355" s="4"/>
    </row>
    <row r="356" spans="1:7" ht="15.75" customHeight="1" x14ac:dyDescent="0.35">
      <c r="A356" s="4"/>
      <c r="B356" s="4"/>
      <c r="C356" s="4"/>
      <c r="D356" s="4"/>
      <c r="E356" s="4"/>
      <c r="F356" s="4"/>
      <c r="G356" s="4"/>
    </row>
    <row r="357" spans="1:7" ht="15.75" customHeight="1" x14ac:dyDescent="0.35">
      <c r="A357" s="4"/>
      <c r="B357" s="4"/>
      <c r="C357" s="4"/>
      <c r="D357" s="4"/>
      <c r="E357" s="4"/>
      <c r="F357" s="4"/>
      <c r="G357" s="4"/>
    </row>
    <row r="358" spans="1:7" ht="15.75" customHeight="1" x14ac:dyDescent="0.35">
      <c r="A358" s="4"/>
      <c r="B358" s="4"/>
      <c r="C358" s="4"/>
      <c r="D358" s="4"/>
      <c r="E358" s="4"/>
      <c r="F358" s="4"/>
      <c r="G358" s="4"/>
    </row>
    <row r="359" spans="1:7" ht="15.75" customHeight="1" x14ac:dyDescent="0.35">
      <c r="A359" s="4"/>
      <c r="B359" s="4"/>
      <c r="C359" s="4"/>
      <c r="D359" s="4"/>
      <c r="E359" s="4"/>
      <c r="F359" s="4"/>
      <c r="G359" s="4"/>
    </row>
    <row r="360" spans="1:7" ht="15.75" customHeight="1" x14ac:dyDescent="0.35">
      <c r="A360" s="4"/>
      <c r="B360" s="4"/>
      <c r="C360" s="4"/>
      <c r="D360" s="4"/>
      <c r="E360" s="4"/>
      <c r="F360" s="4"/>
      <c r="G360" s="4"/>
    </row>
    <row r="361" spans="1:7" ht="15.75" customHeight="1" x14ac:dyDescent="0.35">
      <c r="A361" s="4"/>
      <c r="B361" s="4"/>
      <c r="C361" s="4"/>
      <c r="D361" s="4"/>
      <c r="E361" s="4"/>
      <c r="F361" s="4"/>
      <c r="G361" s="4"/>
    </row>
    <row r="362" spans="1:7" ht="15.75" customHeight="1" x14ac:dyDescent="0.35">
      <c r="A362" s="4"/>
      <c r="B362" s="4"/>
      <c r="C362" s="4"/>
      <c r="D362" s="4"/>
      <c r="E362" s="4"/>
      <c r="F362" s="4"/>
      <c r="G362" s="4"/>
    </row>
    <row r="363" spans="1:7" ht="15.75" customHeight="1" x14ac:dyDescent="0.35">
      <c r="A363" s="4"/>
      <c r="B363" s="4"/>
      <c r="C363" s="4"/>
      <c r="D363" s="4"/>
      <c r="E363" s="4"/>
      <c r="F363" s="4"/>
      <c r="G363" s="4"/>
    </row>
    <row r="364" spans="1:7" ht="15.75" customHeight="1" x14ac:dyDescent="0.35">
      <c r="A364" s="4"/>
      <c r="B364" s="4"/>
      <c r="C364" s="4"/>
      <c r="D364" s="4"/>
      <c r="E364" s="4"/>
      <c r="F364" s="4"/>
      <c r="G364" s="4"/>
    </row>
    <row r="365" spans="1:7" ht="15.75" customHeight="1" x14ac:dyDescent="0.35">
      <c r="A365" s="4"/>
      <c r="B365" s="4"/>
      <c r="C365" s="4"/>
      <c r="D365" s="4"/>
      <c r="E365" s="4"/>
      <c r="F365" s="4"/>
      <c r="G365" s="4"/>
    </row>
    <row r="366" spans="1:7" ht="15.75" customHeight="1" x14ac:dyDescent="0.35">
      <c r="A366" s="4"/>
      <c r="B366" s="4"/>
      <c r="C366" s="4"/>
      <c r="D366" s="4"/>
      <c r="E366" s="4"/>
      <c r="F366" s="4"/>
      <c r="G366" s="4"/>
    </row>
    <row r="367" spans="1:7" ht="15.75" customHeight="1" x14ac:dyDescent="0.35">
      <c r="A367" s="4"/>
      <c r="B367" s="4"/>
      <c r="C367" s="4"/>
      <c r="D367" s="4"/>
      <c r="E367" s="4"/>
      <c r="F367" s="4"/>
      <c r="G367" s="4"/>
    </row>
    <row r="368" spans="1:7" ht="15.75" customHeight="1" x14ac:dyDescent="0.35">
      <c r="A368" s="4"/>
      <c r="B368" s="4"/>
      <c r="C368" s="4"/>
      <c r="D368" s="4"/>
      <c r="E368" s="4"/>
      <c r="F368" s="4"/>
      <c r="G368" s="4"/>
    </row>
    <row r="369" spans="1:7" ht="15.75" customHeight="1" x14ac:dyDescent="0.35">
      <c r="A369" s="4"/>
      <c r="B369" s="4"/>
      <c r="C369" s="4"/>
      <c r="D369" s="4"/>
      <c r="E369" s="4"/>
      <c r="F369" s="4"/>
      <c r="G369" s="4"/>
    </row>
    <row r="370" spans="1:7" ht="15.75" customHeight="1" x14ac:dyDescent="0.35">
      <c r="A370" s="4"/>
      <c r="B370" s="4"/>
      <c r="C370" s="4"/>
      <c r="D370" s="4"/>
      <c r="E370" s="4"/>
      <c r="F370" s="4"/>
      <c r="G370" s="4"/>
    </row>
    <row r="371" spans="1:7" ht="15.75" customHeight="1" x14ac:dyDescent="0.35">
      <c r="A371" s="4"/>
      <c r="B371" s="4"/>
      <c r="C371" s="4"/>
      <c r="D371" s="4"/>
      <c r="E371" s="4"/>
      <c r="F371" s="4"/>
      <c r="G371" s="4"/>
    </row>
    <row r="372" spans="1:7" ht="15.75" customHeight="1" x14ac:dyDescent="0.35">
      <c r="A372" s="4"/>
      <c r="B372" s="4"/>
      <c r="C372" s="4"/>
      <c r="D372" s="4"/>
      <c r="E372" s="4"/>
      <c r="F372" s="4"/>
      <c r="G372" s="4"/>
    </row>
    <row r="373" spans="1:7" ht="15.75" customHeight="1" x14ac:dyDescent="0.35">
      <c r="A373" s="4"/>
      <c r="B373" s="4"/>
      <c r="C373" s="4"/>
      <c r="D373" s="4"/>
      <c r="E373" s="4"/>
      <c r="F373" s="4"/>
      <c r="G373" s="4"/>
    </row>
    <row r="374" spans="1:7" ht="15.75" customHeight="1" x14ac:dyDescent="0.35">
      <c r="A374" s="4"/>
      <c r="B374" s="4"/>
      <c r="C374" s="4"/>
      <c r="D374" s="4"/>
      <c r="E374" s="4"/>
      <c r="F374" s="4"/>
      <c r="G374" s="4"/>
    </row>
    <row r="375" spans="1:7" ht="15.75" customHeight="1" x14ac:dyDescent="0.35">
      <c r="A375" s="4"/>
      <c r="B375" s="4"/>
      <c r="C375" s="4"/>
      <c r="D375" s="4"/>
      <c r="E375" s="4"/>
      <c r="F375" s="4"/>
      <c r="G375" s="4"/>
    </row>
    <row r="376" spans="1:7" ht="15.75" customHeight="1" x14ac:dyDescent="0.35">
      <c r="A376" s="4"/>
      <c r="B376" s="4"/>
      <c r="C376" s="4"/>
      <c r="D376" s="4"/>
      <c r="E376" s="4"/>
      <c r="F376" s="4"/>
      <c r="G376" s="4"/>
    </row>
    <row r="377" spans="1:7" ht="15.75" customHeight="1" x14ac:dyDescent="0.35">
      <c r="A377" s="4"/>
      <c r="B377" s="4"/>
      <c r="C377" s="4"/>
      <c r="D377" s="4"/>
      <c r="E377" s="4"/>
      <c r="F377" s="4"/>
      <c r="G377" s="4"/>
    </row>
    <row r="378" spans="1:7" ht="15.75" customHeight="1" x14ac:dyDescent="0.35">
      <c r="A378" s="4"/>
      <c r="B378" s="4"/>
      <c r="C378" s="4"/>
      <c r="D378" s="4"/>
      <c r="E378" s="4"/>
      <c r="F378" s="4"/>
      <c r="G378" s="4"/>
    </row>
    <row r="379" spans="1:7" ht="15.75" customHeight="1" x14ac:dyDescent="0.35">
      <c r="A379" s="4"/>
      <c r="B379" s="4"/>
      <c r="C379" s="4"/>
      <c r="D379" s="4"/>
      <c r="E379" s="4"/>
      <c r="F379" s="4"/>
      <c r="G379" s="4"/>
    </row>
    <row r="380" spans="1:7" ht="15.75" customHeight="1" x14ac:dyDescent="0.35">
      <c r="A380" s="4"/>
      <c r="B380" s="4"/>
      <c r="C380" s="4"/>
      <c r="D380" s="4"/>
      <c r="E380" s="4"/>
      <c r="F380" s="4"/>
      <c r="G380" s="4"/>
    </row>
    <row r="381" spans="1:7" ht="15.75" customHeight="1" x14ac:dyDescent="0.35">
      <c r="A381" s="4"/>
      <c r="B381" s="4"/>
      <c r="C381" s="4"/>
      <c r="D381" s="4"/>
      <c r="E381" s="4"/>
      <c r="F381" s="4"/>
      <c r="G381" s="4"/>
    </row>
    <row r="382" spans="1:7" ht="15.75" customHeight="1" x14ac:dyDescent="0.35">
      <c r="A382" s="4"/>
      <c r="B382" s="4"/>
      <c r="C382" s="4"/>
      <c r="D382" s="4"/>
      <c r="E382" s="4"/>
      <c r="F382" s="4"/>
      <c r="G382" s="4"/>
    </row>
    <row r="383" spans="1:7" ht="15.75" customHeight="1" x14ac:dyDescent="0.35">
      <c r="A383" s="4"/>
      <c r="B383" s="4"/>
      <c r="C383" s="4"/>
      <c r="D383" s="4"/>
      <c r="E383" s="4"/>
      <c r="F383" s="4"/>
      <c r="G383" s="4"/>
    </row>
    <row r="384" spans="1:7" ht="15.75" customHeight="1" x14ac:dyDescent="0.35">
      <c r="A384" s="4"/>
      <c r="B384" s="4"/>
      <c r="C384" s="4"/>
      <c r="D384" s="4"/>
      <c r="E384" s="4"/>
      <c r="F384" s="4"/>
      <c r="G384" s="4"/>
    </row>
    <row r="385" spans="1:7" ht="15.75" customHeight="1" x14ac:dyDescent="0.35">
      <c r="A385" s="4"/>
      <c r="B385" s="4"/>
      <c r="C385" s="4"/>
      <c r="D385" s="4"/>
      <c r="E385" s="4"/>
      <c r="F385" s="4"/>
      <c r="G385" s="4"/>
    </row>
    <row r="386" spans="1:7" ht="15.75" customHeight="1" x14ac:dyDescent="0.35">
      <c r="A386" s="4"/>
      <c r="B386" s="4"/>
      <c r="C386" s="4"/>
      <c r="D386" s="4"/>
      <c r="E386" s="4"/>
      <c r="F386" s="4"/>
      <c r="G386" s="4"/>
    </row>
    <row r="387" spans="1:7" ht="15.75" customHeight="1" x14ac:dyDescent="0.35">
      <c r="A387" s="4"/>
      <c r="B387" s="4"/>
      <c r="C387" s="4"/>
      <c r="D387" s="4"/>
      <c r="E387" s="4"/>
      <c r="F387" s="4"/>
      <c r="G387" s="4"/>
    </row>
    <row r="388" spans="1:7" ht="15.75" customHeight="1" x14ac:dyDescent="0.35">
      <c r="A388" s="4"/>
      <c r="B388" s="4"/>
      <c r="C388" s="4"/>
      <c r="D388" s="4"/>
      <c r="E388" s="4"/>
      <c r="F388" s="4"/>
      <c r="G388" s="4"/>
    </row>
    <row r="389" spans="1:7" ht="15.75" customHeight="1" x14ac:dyDescent="0.35">
      <c r="A389" s="4"/>
      <c r="B389" s="4"/>
      <c r="C389" s="4"/>
      <c r="D389" s="4"/>
      <c r="E389" s="4"/>
      <c r="F389" s="4"/>
      <c r="G389" s="4"/>
    </row>
    <row r="390" spans="1:7" ht="15.75" customHeight="1" x14ac:dyDescent="0.35">
      <c r="A390" s="4"/>
      <c r="B390" s="4"/>
      <c r="C390" s="4"/>
      <c r="D390" s="4"/>
      <c r="E390" s="4"/>
      <c r="F390" s="4"/>
      <c r="G390" s="4"/>
    </row>
    <row r="391" spans="1:7" ht="15.75" customHeight="1" x14ac:dyDescent="0.35">
      <c r="A391" s="4"/>
      <c r="B391" s="4"/>
      <c r="C391" s="4"/>
      <c r="D391" s="4"/>
      <c r="E391" s="4"/>
      <c r="F391" s="4"/>
      <c r="G391" s="4"/>
    </row>
    <row r="392" spans="1:7" ht="15.75" customHeight="1" x14ac:dyDescent="0.35">
      <c r="A392" s="4"/>
      <c r="B392" s="4"/>
      <c r="C392" s="4"/>
      <c r="D392" s="4"/>
      <c r="E392" s="4"/>
      <c r="F392" s="4"/>
      <c r="G392" s="4"/>
    </row>
    <row r="393" spans="1:7" ht="15.75" customHeight="1" x14ac:dyDescent="0.35">
      <c r="A393" s="4"/>
      <c r="B393" s="4"/>
      <c r="C393" s="4"/>
      <c r="D393" s="4"/>
      <c r="E393" s="4"/>
      <c r="F393" s="4"/>
      <c r="G393" s="4"/>
    </row>
    <row r="394" spans="1:7" ht="15.75" customHeight="1" x14ac:dyDescent="0.35">
      <c r="A394" s="4"/>
      <c r="B394" s="4"/>
      <c r="C394" s="4"/>
      <c r="D394" s="4"/>
      <c r="E394" s="4"/>
      <c r="F394" s="4"/>
      <c r="G394" s="4"/>
    </row>
    <row r="395" spans="1:7" ht="15.75" customHeight="1" x14ac:dyDescent="0.35">
      <c r="A395" s="4"/>
      <c r="B395" s="4"/>
      <c r="C395" s="4"/>
      <c r="D395" s="4"/>
      <c r="E395" s="4"/>
      <c r="F395" s="4"/>
      <c r="G395" s="4"/>
    </row>
    <row r="396" spans="1:7" ht="15.75" customHeight="1" x14ac:dyDescent="0.35">
      <c r="A396" s="4"/>
      <c r="B396" s="4"/>
      <c r="C396" s="4"/>
      <c r="D396" s="4"/>
      <c r="E396" s="4"/>
      <c r="F396" s="4"/>
      <c r="G396" s="4"/>
    </row>
    <row r="397" spans="1:7" ht="15.75" customHeight="1" x14ac:dyDescent="0.35">
      <c r="A397" s="4"/>
      <c r="B397" s="4"/>
      <c r="C397" s="4"/>
      <c r="D397" s="4"/>
      <c r="E397" s="4"/>
      <c r="F397" s="4"/>
      <c r="G397" s="4"/>
    </row>
    <row r="398" spans="1:7" ht="15.75" customHeight="1" x14ac:dyDescent="0.35">
      <c r="A398" s="4"/>
      <c r="B398" s="4"/>
      <c r="C398" s="4"/>
      <c r="D398" s="4"/>
      <c r="E398" s="4"/>
      <c r="F398" s="4"/>
      <c r="G398" s="4"/>
    </row>
    <row r="399" spans="1:7" ht="15.75" customHeight="1" x14ac:dyDescent="0.35">
      <c r="A399" s="4"/>
      <c r="B399" s="4"/>
      <c r="C399" s="4"/>
      <c r="D399" s="4"/>
      <c r="E399" s="4"/>
      <c r="F399" s="4"/>
      <c r="G399" s="4"/>
    </row>
    <row r="400" spans="1:7" ht="15.75" customHeight="1" x14ac:dyDescent="0.35">
      <c r="A400" s="4"/>
      <c r="B400" s="4"/>
      <c r="C400" s="4"/>
      <c r="D400" s="4"/>
      <c r="E400" s="4"/>
      <c r="F400" s="4"/>
      <c r="G400" s="4"/>
    </row>
    <row r="401" spans="1:7" ht="15.75" customHeight="1" x14ac:dyDescent="0.35">
      <c r="A401" s="4"/>
      <c r="B401" s="4"/>
      <c r="C401" s="4"/>
      <c r="D401" s="4"/>
      <c r="E401" s="4"/>
      <c r="F401" s="4"/>
      <c r="G401" s="4"/>
    </row>
    <row r="402" spans="1:7" ht="15.75" customHeight="1" x14ac:dyDescent="0.35">
      <c r="A402" s="4"/>
      <c r="B402" s="4"/>
      <c r="C402" s="4"/>
      <c r="D402" s="4"/>
      <c r="E402" s="4"/>
      <c r="F402" s="4"/>
      <c r="G402" s="4"/>
    </row>
    <row r="403" spans="1:7" ht="15.75" customHeight="1" x14ac:dyDescent="0.35">
      <c r="A403" s="4"/>
      <c r="B403" s="4"/>
      <c r="C403" s="4"/>
      <c r="D403" s="4"/>
      <c r="E403" s="4"/>
      <c r="F403" s="4"/>
      <c r="G403" s="4"/>
    </row>
    <row r="404" spans="1:7" ht="15.75" customHeight="1" x14ac:dyDescent="0.35">
      <c r="A404" s="4"/>
      <c r="B404" s="4"/>
      <c r="C404" s="4"/>
      <c r="D404" s="4"/>
      <c r="E404" s="4"/>
      <c r="F404" s="4"/>
      <c r="G404" s="4"/>
    </row>
    <row r="405" spans="1:7" ht="15.75" customHeight="1" x14ac:dyDescent="0.35">
      <c r="A405" s="4"/>
      <c r="B405" s="4"/>
      <c r="C405" s="4"/>
      <c r="D405" s="4"/>
      <c r="E405" s="4"/>
      <c r="F405" s="4"/>
      <c r="G405" s="4"/>
    </row>
    <row r="406" spans="1:7" ht="15.75" customHeight="1" x14ac:dyDescent="0.35">
      <c r="A406" s="4"/>
      <c r="B406" s="4"/>
      <c r="C406" s="4"/>
      <c r="D406" s="4"/>
      <c r="E406" s="4"/>
      <c r="F406" s="4"/>
      <c r="G406" s="4"/>
    </row>
    <row r="407" spans="1:7" ht="15.75" customHeight="1" x14ac:dyDescent="0.35">
      <c r="A407" s="4"/>
      <c r="B407" s="4"/>
      <c r="C407" s="4"/>
      <c r="D407" s="4"/>
      <c r="E407" s="4"/>
      <c r="F407" s="4"/>
      <c r="G407" s="4"/>
    </row>
    <row r="408" spans="1:7" ht="15.75" customHeight="1" x14ac:dyDescent="0.35">
      <c r="A408" s="4"/>
      <c r="B408" s="4"/>
      <c r="C408" s="4"/>
      <c r="D408" s="4"/>
      <c r="E408" s="4"/>
      <c r="F408" s="4"/>
      <c r="G408" s="4"/>
    </row>
    <row r="409" spans="1:7" ht="15.75" customHeight="1" x14ac:dyDescent="0.35">
      <c r="A409" s="4"/>
      <c r="B409" s="4"/>
      <c r="C409" s="4"/>
      <c r="D409" s="4"/>
      <c r="E409" s="4"/>
      <c r="F409" s="4"/>
      <c r="G409" s="4"/>
    </row>
    <row r="410" spans="1:7" ht="15.75" customHeight="1" x14ac:dyDescent="0.35">
      <c r="A410" s="4"/>
      <c r="B410" s="4"/>
      <c r="C410" s="4"/>
      <c r="D410" s="4"/>
      <c r="E410" s="4"/>
      <c r="F410" s="4"/>
      <c r="G410" s="4"/>
    </row>
    <row r="411" spans="1:7" ht="15.75" customHeight="1" x14ac:dyDescent="0.35">
      <c r="A411" s="4"/>
      <c r="B411" s="4"/>
      <c r="C411" s="4"/>
      <c r="D411" s="4"/>
      <c r="E411" s="4"/>
      <c r="F411" s="4"/>
      <c r="G411" s="4"/>
    </row>
    <row r="412" spans="1:7" ht="15.75" customHeight="1" x14ac:dyDescent="0.35">
      <c r="A412" s="4"/>
      <c r="B412" s="4"/>
      <c r="C412" s="4"/>
      <c r="D412" s="4"/>
      <c r="E412" s="4"/>
      <c r="F412" s="4"/>
      <c r="G412" s="4"/>
    </row>
    <row r="413" spans="1:7" ht="15.75" customHeight="1" x14ac:dyDescent="0.35">
      <c r="A413" s="4"/>
      <c r="B413" s="4"/>
      <c r="C413" s="4"/>
      <c r="D413" s="4"/>
      <c r="E413" s="4"/>
      <c r="F413" s="4"/>
      <c r="G413" s="4"/>
    </row>
    <row r="414" spans="1:7" ht="15.75" customHeight="1" x14ac:dyDescent="0.35">
      <c r="A414" s="4"/>
      <c r="B414" s="4"/>
      <c r="C414" s="4"/>
      <c r="D414" s="4"/>
      <c r="E414" s="4"/>
      <c r="F414" s="4"/>
      <c r="G414" s="4"/>
    </row>
    <row r="415" spans="1:7" ht="15.75" customHeight="1" x14ac:dyDescent="0.35">
      <c r="A415" s="4"/>
      <c r="B415" s="4"/>
      <c r="C415" s="4"/>
      <c r="D415" s="4"/>
      <c r="E415" s="4"/>
      <c r="F415" s="4"/>
      <c r="G415" s="4"/>
    </row>
    <row r="416" spans="1:7" ht="15.75" customHeight="1" x14ac:dyDescent="0.35">
      <c r="A416" s="4"/>
      <c r="B416" s="4"/>
      <c r="C416" s="4"/>
      <c r="D416" s="4"/>
      <c r="E416" s="4"/>
      <c r="F416" s="4"/>
      <c r="G416" s="4"/>
    </row>
    <row r="417" spans="1:7" ht="15.75" customHeight="1" x14ac:dyDescent="0.35">
      <c r="A417" s="4"/>
      <c r="B417" s="4"/>
      <c r="C417" s="4"/>
      <c r="D417" s="4"/>
      <c r="E417" s="4"/>
      <c r="F417" s="4"/>
      <c r="G417" s="4"/>
    </row>
    <row r="418" spans="1:7" ht="15.75" customHeight="1" x14ac:dyDescent="0.35">
      <c r="A418" s="4"/>
      <c r="B418" s="4"/>
      <c r="C418" s="4"/>
      <c r="D418" s="4"/>
      <c r="E418" s="4"/>
      <c r="F418" s="4"/>
      <c r="G418" s="4"/>
    </row>
    <row r="419" spans="1:7" ht="15.75" customHeight="1" x14ac:dyDescent="0.35">
      <c r="A419" s="4"/>
      <c r="B419" s="4"/>
      <c r="C419" s="4"/>
      <c r="D419" s="4"/>
      <c r="E419" s="4"/>
      <c r="F419" s="4"/>
      <c r="G419" s="4"/>
    </row>
    <row r="420" spans="1:7" ht="15.75" customHeight="1" x14ac:dyDescent="0.35">
      <c r="A420" s="4"/>
      <c r="B420" s="4"/>
      <c r="C420" s="4"/>
      <c r="D420" s="4"/>
      <c r="E420" s="4"/>
      <c r="F420" s="4"/>
      <c r="G420" s="4"/>
    </row>
    <row r="421" spans="1:7" ht="15.75" customHeight="1" x14ac:dyDescent="0.35">
      <c r="A421" s="4"/>
      <c r="B421" s="4"/>
      <c r="C421" s="4"/>
      <c r="D421" s="4"/>
      <c r="E421" s="4"/>
      <c r="F421" s="4"/>
      <c r="G421" s="4"/>
    </row>
    <row r="422" spans="1:7" ht="15.75" customHeight="1" x14ac:dyDescent="0.35">
      <c r="A422" s="4"/>
      <c r="B422" s="4"/>
      <c r="C422" s="4"/>
      <c r="D422" s="4"/>
      <c r="E422" s="4"/>
      <c r="F422" s="4"/>
      <c r="G422" s="4"/>
    </row>
    <row r="423" spans="1:7" ht="15.75" customHeight="1" x14ac:dyDescent="0.35">
      <c r="A423" s="4"/>
      <c r="B423" s="4"/>
      <c r="C423" s="4"/>
      <c r="D423" s="4"/>
      <c r="E423" s="4"/>
      <c r="F423" s="4"/>
      <c r="G423" s="4"/>
    </row>
    <row r="424" spans="1:7" ht="15.75" customHeight="1" x14ac:dyDescent="0.35">
      <c r="A424" s="4"/>
      <c r="B424" s="4"/>
      <c r="C424" s="4"/>
      <c r="D424" s="4"/>
      <c r="E424" s="4"/>
      <c r="F424" s="4"/>
      <c r="G424" s="4"/>
    </row>
    <row r="425" spans="1:7" ht="15.75" customHeight="1" x14ac:dyDescent="0.35">
      <c r="A425" s="4"/>
      <c r="B425" s="4"/>
      <c r="C425" s="4"/>
      <c r="D425" s="4"/>
      <c r="E425" s="4"/>
      <c r="F425" s="4"/>
      <c r="G425" s="4"/>
    </row>
    <row r="426" spans="1:7" ht="15.75" customHeight="1" x14ac:dyDescent="0.35">
      <c r="A426" s="4"/>
      <c r="B426" s="4"/>
      <c r="C426" s="4"/>
      <c r="D426" s="4"/>
      <c r="E426" s="4"/>
      <c r="F426" s="4"/>
      <c r="G426" s="4"/>
    </row>
    <row r="427" spans="1:7" ht="15.75" customHeight="1" x14ac:dyDescent="0.35">
      <c r="A427" s="4"/>
      <c r="B427" s="4"/>
      <c r="C427" s="4"/>
      <c r="D427" s="4"/>
      <c r="E427" s="4"/>
      <c r="F427" s="4"/>
      <c r="G427" s="4"/>
    </row>
    <row r="428" spans="1:7" ht="15.75" customHeight="1" x14ac:dyDescent="0.35">
      <c r="A428" s="4"/>
      <c r="B428" s="4"/>
      <c r="C428" s="4"/>
      <c r="D428" s="4"/>
      <c r="E428" s="4"/>
      <c r="F428" s="4"/>
      <c r="G428" s="4"/>
    </row>
    <row r="429" spans="1:7" ht="15.75" customHeight="1" x14ac:dyDescent="0.35">
      <c r="A429" s="4"/>
      <c r="B429" s="4"/>
      <c r="C429" s="4"/>
      <c r="D429" s="4"/>
      <c r="E429" s="4"/>
      <c r="F429" s="4"/>
      <c r="G429" s="4"/>
    </row>
    <row r="430" spans="1:7" ht="15.75" customHeight="1" x14ac:dyDescent="0.35">
      <c r="A430" s="4"/>
      <c r="B430" s="4"/>
      <c r="C430" s="4"/>
      <c r="D430" s="4"/>
      <c r="E430" s="4"/>
      <c r="F430" s="4"/>
      <c r="G430" s="4"/>
    </row>
    <row r="431" spans="1:7" ht="15.75" customHeight="1" x14ac:dyDescent="0.35">
      <c r="A431" s="4"/>
      <c r="B431" s="4"/>
      <c r="C431" s="4"/>
      <c r="D431" s="4"/>
      <c r="E431" s="4"/>
      <c r="F431" s="4"/>
      <c r="G431" s="4"/>
    </row>
    <row r="432" spans="1:7" ht="15.75" customHeight="1" x14ac:dyDescent="0.35">
      <c r="A432" s="4"/>
      <c r="B432" s="4"/>
      <c r="C432" s="4"/>
      <c r="D432" s="4"/>
      <c r="E432" s="4"/>
      <c r="F432" s="4"/>
      <c r="G432" s="4"/>
    </row>
    <row r="433" spans="1:7" ht="15.75" customHeight="1" x14ac:dyDescent="0.35">
      <c r="A433" s="4"/>
      <c r="B433" s="4"/>
      <c r="C433" s="4"/>
      <c r="D433" s="4"/>
      <c r="E433" s="4"/>
      <c r="F433" s="4"/>
      <c r="G433" s="4"/>
    </row>
    <row r="434" spans="1:7" ht="15.75" customHeight="1" x14ac:dyDescent="0.35">
      <c r="A434" s="4"/>
      <c r="B434" s="4"/>
      <c r="C434" s="4"/>
      <c r="D434" s="4"/>
      <c r="E434" s="4"/>
      <c r="F434" s="4"/>
      <c r="G434" s="4"/>
    </row>
    <row r="435" spans="1:7" ht="15.75" customHeight="1" x14ac:dyDescent="0.35">
      <c r="A435" s="4"/>
      <c r="B435" s="4"/>
      <c r="C435" s="4"/>
      <c r="D435" s="4"/>
      <c r="E435" s="4"/>
      <c r="F435" s="4"/>
      <c r="G435" s="4"/>
    </row>
    <row r="436" spans="1:7" ht="15.75" customHeight="1" x14ac:dyDescent="0.35">
      <c r="A436" s="4"/>
      <c r="B436" s="4"/>
      <c r="C436" s="4"/>
      <c r="D436" s="4"/>
      <c r="E436" s="4"/>
      <c r="F436" s="4"/>
      <c r="G436" s="4"/>
    </row>
    <row r="437" spans="1:7" ht="15.75" customHeight="1" x14ac:dyDescent="0.35">
      <c r="A437" s="4"/>
      <c r="B437" s="4"/>
      <c r="C437" s="4"/>
      <c r="D437" s="4"/>
      <c r="E437" s="4"/>
      <c r="F437" s="4"/>
      <c r="G437" s="4"/>
    </row>
    <row r="438" spans="1:7" ht="15.75" customHeight="1" x14ac:dyDescent="0.35">
      <c r="A438" s="4"/>
      <c r="B438" s="4"/>
      <c r="C438" s="4"/>
      <c r="D438" s="4"/>
      <c r="E438" s="4"/>
      <c r="F438" s="4"/>
      <c r="G438" s="4"/>
    </row>
    <row r="439" spans="1:7" ht="15.75" customHeight="1" x14ac:dyDescent="0.35">
      <c r="A439" s="4"/>
      <c r="B439" s="4"/>
      <c r="C439" s="4"/>
      <c r="D439" s="4"/>
      <c r="E439" s="4"/>
      <c r="F439" s="4"/>
      <c r="G439" s="4"/>
    </row>
    <row r="440" spans="1:7" ht="15.75" customHeight="1" x14ac:dyDescent="0.35">
      <c r="A440" s="4"/>
      <c r="B440" s="4"/>
      <c r="C440" s="4"/>
      <c r="D440" s="4"/>
      <c r="E440" s="4"/>
      <c r="F440" s="4"/>
      <c r="G440" s="4"/>
    </row>
    <row r="441" spans="1:7" ht="15.75" customHeight="1" x14ac:dyDescent="0.35">
      <c r="A441" s="4"/>
      <c r="B441" s="4"/>
      <c r="C441" s="4"/>
      <c r="D441" s="4"/>
      <c r="E441" s="4"/>
      <c r="F441" s="4"/>
      <c r="G441" s="4"/>
    </row>
    <row r="442" spans="1:7" ht="15.75" customHeight="1" x14ac:dyDescent="0.35">
      <c r="A442" s="4"/>
      <c r="B442" s="4"/>
      <c r="C442" s="4"/>
      <c r="D442" s="4"/>
      <c r="E442" s="4"/>
      <c r="F442" s="4"/>
      <c r="G442" s="4"/>
    </row>
    <row r="443" spans="1:7" ht="15.75" customHeight="1" x14ac:dyDescent="0.35">
      <c r="A443" s="4"/>
      <c r="B443" s="4"/>
      <c r="C443" s="4"/>
      <c r="D443" s="4"/>
      <c r="E443" s="4"/>
      <c r="F443" s="4"/>
      <c r="G443" s="4"/>
    </row>
    <row r="444" spans="1:7" ht="15.75" customHeight="1" x14ac:dyDescent="0.35">
      <c r="A444" s="4"/>
      <c r="B444" s="4"/>
      <c r="C444" s="4"/>
      <c r="D444" s="4"/>
      <c r="E444" s="4"/>
      <c r="F444" s="4"/>
      <c r="G444" s="4"/>
    </row>
    <row r="445" spans="1:7" ht="15.75" customHeight="1" x14ac:dyDescent="0.35">
      <c r="A445" s="4"/>
      <c r="B445" s="4"/>
      <c r="C445" s="4"/>
      <c r="D445" s="4"/>
      <c r="E445" s="4"/>
      <c r="F445" s="4"/>
      <c r="G445" s="4"/>
    </row>
    <row r="446" spans="1:7" ht="15.75" customHeight="1" x14ac:dyDescent="0.35">
      <c r="A446" s="4"/>
      <c r="B446" s="4"/>
      <c r="C446" s="4"/>
      <c r="D446" s="4"/>
      <c r="E446" s="4"/>
      <c r="F446" s="4"/>
      <c r="G446" s="4"/>
    </row>
    <row r="447" spans="1:7" ht="15.75" customHeight="1" x14ac:dyDescent="0.35">
      <c r="A447" s="4"/>
      <c r="B447" s="4"/>
      <c r="C447" s="4"/>
      <c r="D447" s="4"/>
      <c r="E447" s="4"/>
      <c r="F447" s="4"/>
      <c r="G447" s="4"/>
    </row>
    <row r="448" spans="1:7" ht="15.75" customHeight="1" x14ac:dyDescent="0.35">
      <c r="A448" s="4"/>
      <c r="B448" s="4"/>
      <c r="C448" s="4"/>
      <c r="D448" s="4"/>
      <c r="E448" s="4"/>
      <c r="F448" s="4"/>
      <c r="G448" s="4"/>
    </row>
    <row r="449" spans="1:7" ht="15.75" customHeight="1" x14ac:dyDescent="0.35">
      <c r="A449" s="4"/>
      <c r="B449" s="4"/>
      <c r="C449" s="4"/>
      <c r="D449" s="4"/>
      <c r="E449" s="4"/>
      <c r="F449" s="4"/>
      <c r="G449" s="4"/>
    </row>
    <row r="450" spans="1:7" ht="15.75" customHeight="1" x14ac:dyDescent="0.35">
      <c r="A450" s="4"/>
      <c r="B450" s="4"/>
      <c r="C450" s="4"/>
      <c r="D450" s="4"/>
      <c r="E450" s="4"/>
      <c r="F450" s="4"/>
      <c r="G450" s="4"/>
    </row>
    <row r="451" spans="1:7" ht="15.75" customHeight="1" x14ac:dyDescent="0.35">
      <c r="A451" s="4"/>
      <c r="B451" s="4"/>
      <c r="C451" s="4"/>
      <c r="D451" s="4"/>
      <c r="E451" s="4"/>
      <c r="F451" s="4"/>
      <c r="G451" s="4"/>
    </row>
    <row r="452" spans="1:7" ht="15.75" customHeight="1" x14ac:dyDescent="0.35">
      <c r="A452" s="4"/>
      <c r="B452" s="4"/>
      <c r="C452" s="4"/>
      <c r="D452" s="4"/>
      <c r="E452" s="4"/>
      <c r="F452" s="4"/>
      <c r="G452" s="4"/>
    </row>
    <row r="453" spans="1:7" ht="15.75" customHeight="1" x14ac:dyDescent="0.35">
      <c r="A453" s="4"/>
      <c r="B453" s="4"/>
      <c r="C453" s="4"/>
      <c r="D453" s="4"/>
      <c r="E453" s="4"/>
      <c r="F453" s="4"/>
      <c r="G453" s="4"/>
    </row>
    <row r="454" spans="1:7" ht="15.75" customHeight="1" x14ac:dyDescent="0.35">
      <c r="A454" s="4"/>
      <c r="B454" s="4"/>
      <c r="C454" s="4"/>
      <c r="D454" s="4"/>
      <c r="E454" s="4"/>
      <c r="F454" s="4"/>
      <c r="G454" s="4"/>
    </row>
    <row r="455" spans="1:7" ht="15.75" customHeight="1" x14ac:dyDescent="0.35">
      <c r="A455" s="4"/>
      <c r="B455" s="4"/>
      <c r="C455" s="4"/>
      <c r="D455" s="4"/>
      <c r="E455" s="4"/>
      <c r="F455" s="4"/>
      <c r="G455" s="4"/>
    </row>
    <row r="456" spans="1:7" ht="15.75" customHeight="1" x14ac:dyDescent="0.35">
      <c r="A456" s="4"/>
      <c r="B456" s="4"/>
      <c r="C456" s="4"/>
      <c r="D456" s="4"/>
      <c r="E456" s="4"/>
      <c r="F456" s="4"/>
      <c r="G456" s="4"/>
    </row>
    <row r="457" spans="1:7" ht="15.75" customHeight="1" x14ac:dyDescent="0.35">
      <c r="A457" s="4"/>
      <c r="B457" s="4"/>
      <c r="C457" s="4"/>
      <c r="D457" s="4"/>
      <c r="E457" s="4"/>
      <c r="F457" s="4"/>
      <c r="G457" s="4"/>
    </row>
    <row r="458" spans="1:7" ht="15.75" customHeight="1" x14ac:dyDescent="0.35">
      <c r="A458" s="4"/>
      <c r="B458" s="4"/>
      <c r="C458" s="4"/>
      <c r="D458" s="4"/>
      <c r="E458" s="4"/>
      <c r="F458" s="4"/>
      <c r="G458" s="4"/>
    </row>
    <row r="459" spans="1:7" ht="15.75" customHeight="1" x14ac:dyDescent="0.35">
      <c r="A459" s="4"/>
      <c r="B459" s="4"/>
      <c r="C459" s="4"/>
      <c r="D459" s="4"/>
      <c r="E459" s="4"/>
      <c r="F459" s="4"/>
      <c r="G459" s="4"/>
    </row>
    <row r="460" spans="1:7" ht="15.75" customHeight="1" x14ac:dyDescent="0.35">
      <c r="A460" s="4"/>
      <c r="B460" s="4"/>
      <c r="C460" s="4"/>
      <c r="D460" s="4"/>
      <c r="E460" s="4"/>
      <c r="F460" s="4"/>
      <c r="G460" s="4"/>
    </row>
    <row r="461" spans="1:7" ht="15.75" customHeight="1" x14ac:dyDescent="0.35">
      <c r="A461" s="4"/>
      <c r="B461" s="4"/>
      <c r="C461" s="4"/>
      <c r="D461" s="4"/>
      <c r="E461" s="4"/>
      <c r="F461" s="4"/>
      <c r="G461" s="4"/>
    </row>
    <row r="462" spans="1:7" ht="15.75" customHeight="1" x14ac:dyDescent="0.35">
      <c r="A462" s="4"/>
      <c r="B462" s="4"/>
      <c r="C462" s="4"/>
      <c r="D462" s="4"/>
      <c r="E462" s="4"/>
      <c r="F462" s="4"/>
      <c r="G462" s="4"/>
    </row>
    <row r="463" spans="1:7" ht="15.75" customHeight="1" x14ac:dyDescent="0.35">
      <c r="A463" s="4"/>
      <c r="B463" s="4"/>
      <c r="C463" s="4"/>
      <c r="D463" s="4"/>
      <c r="E463" s="4"/>
      <c r="F463" s="4"/>
      <c r="G463" s="4"/>
    </row>
    <row r="464" spans="1:7" ht="15.75" customHeight="1" x14ac:dyDescent="0.35">
      <c r="A464" s="4"/>
      <c r="B464" s="4"/>
      <c r="C464" s="4"/>
      <c r="D464" s="4"/>
      <c r="E464" s="4"/>
      <c r="F464" s="4"/>
      <c r="G464" s="4"/>
    </row>
    <row r="465" spans="1:7" ht="15.75" customHeight="1" x14ac:dyDescent="0.35">
      <c r="A465" s="4"/>
      <c r="B465" s="4"/>
      <c r="C465" s="4"/>
      <c r="D465" s="4"/>
      <c r="E465" s="4"/>
      <c r="F465" s="4"/>
      <c r="G465" s="4"/>
    </row>
    <row r="466" spans="1:7" ht="15.75" customHeight="1" x14ac:dyDescent="0.35">
      <c r="A466" s="4"/>
      <c r="B466" s="4"/>
      <c r="C466" s="4"/>
      <c r="D466" s="4"/>
      <c r="E466" s="4"/>
      <c r="F466" s="4"/>
      <c r="G466" s="4"/>
    </row>
    <row r="467" spans="1:7" ht="15.75" customHeight="1" x14ac:dyDescent="0.35">
      <c r="A467" s="4"/>
      <c r="B467" s="4"/>
      <c r="C467" s="4"/>
      <c r="D467" s="4"/>
      <c r="E467" s="4"/>
      <c r="F467" s="4"/>
      <c r="G467" s="4"/>
    </row>
    <row r="468" spans="1:7" ht="15.75" customHeight="1" x14ac:dyDescent="0.35">
      <c r="A468" s="4"/>
      <c r="B468" s="4"/>
      <c r="C468" s="4"/>
      <c r="D468" s="4"/>
      <c r="E468" s="4"/>
      <c r="F468" s="4"/>
      <c r="G468" s="4"/>
    </row>
    <row r="469" spans="1:7" ht="15.75" customHeight="1" x14ac:dyDescent="0.35">
      <c r="A469" s="4"/>
      <c r="B469" s="4"/>
      <c r="C469" s="4"/>
      <c r="D469" s="4"/>
      <c r="E469" s="4"/>
      <c r="F469" s="4"/>
      <c r="G469" s="4"/>
    </row>
    <row r="470" spans="1:7" ht="15.75" customHeight="1" x14ac:dyDescent="0.35">
      <c r="A470" s="4"/>
      <c r="B470" s="4"/>
      <c r="C470" s="4"/>
      <c r="D470" s="4"/>
      <c r="E470" s="4"/>
      <c r="F470" s="4"/>
      <c r="G470" s="4"/>
    </row>
    <row r="471" spans="1:7" ht="15.75" customHeight="1" x14ac:dyDescent="0.35">
      <c r="A471" s="4"/>
      <c r="B471" s="4"/>
      <c r="C471" s="4"/>
      <c r="D471" s="4"/>
      <c r="E471" s="4"/>
      <c r="F471" s="4"/>
      <c r="G471" s="4"/>
    </row>
    <row r="472" spans="1:7" ht="15.75" customHeight="1" x14ac:dyDescent="0.35">
      <c r="A472" s="4"/>
      <c r="B472" s="4"/>
      <c r="C472" s="4"/>
      <c r="D472" s="4"/>
      <c r="E472" s="4"/>
      <c r="F472" s="4"/>
      <c r="G472" s="4"/>
    </row>
    <row r="473" spans="1:7" ht="15.75" customHeight="1" x14ac:dyDescent="0.35">
      <c r="A473" s="4"/>
      <c r="B473" s="4"/>
      <c r="C473" s="4"/>
      <c r="D473" s="4"/>
      <c r="E473" s="4"/>
      <c r="F473" s="4"/>
      <c r="G473" s="4"/>
    </row>
    <row r="474" spans="1:7" ht="15.75" customHeight="1" x14ac:dyDescent="0.35">
      <c r="A474" s="4"/>
      <c r="B474" s="4"/>
      <c r="C474" s="4"/>
      <c r="D474" s="4"/>
      <c r="E474" s="4"/>
      <c r="F474" s="4"/>
      <c r="G474" s="4"/>
    </row>
    <row r="475" spans="1:7" ht="15.75" customHeight="1" x14ac:dyDescent="0.35">
      <c r="A475" s="4"/>
      <c r="B475" s="4"/>
      <c r="C475" s="4"/>
      <c r="D475" s="4"/>
      <c r="E475" s="4"/>
      <c r="F475" s="4"/>
      <c r="G475" s="4"/>
    </row>
    <row r="476" spans="1:7" ht="15.75" customHeight="1" x14ac:dyDescent="0.35">
      <c r="A476" s="4"/>
      <c r="B476" s="4"/>
      <c r="C476" s="4"/>
      <c r="D476" s="4"/>
      <c r="E476" s="4"/>
      <c r="F476" s="4"/>
      <c r="G476" s="4"/>
    </row>
    <row r="477" spans="1:7" ht="15.75" customHeight="1" x14ac:dyDescent="0.35">
      <c r="A477" s="4"/>
      <c r="B477" s="4"/>
      <c r="C477" s="4"/>
      <c r="D477" s="4"/>
      <c r="E477" s="4"/>
      <c r="F477" s="4"/>
      <c r="G477" s="4"/>
    </row>
    <row r="478" spans="1:7" ht="15.75" customHeight="1" x14ac:dyDescent="0.35">
      <c r="A478" s="4"/>
      <c r="B478" s="4"/>
      <c r="C478" s="4"/>
      <c r="D478" s="4"/>
      <c r="E478" s="4"/>
      <c r="F478" s="4"/>
      <c r="G478" s="4"/>
    </row>
    <row r="479" spans="1:7" ht="15.75" customHeight="1" x14ac:dyDescent="0.35">
      <c r="A479" s="4"/>
      <c r="B479" s="4"/>
      <c r="C479" s="4"/>
      <c r="D479" s="4"/>
      <c r="E479" s="4"/>
      <c r="F479" s="4"/>
      <c r="G479" s="4"/>
    </row>
    <row r="480" spans="1:7" ht="15.75" customHeight="1" x14ac:dyDescent="0.35">
      <c r="A480" s="4"/>
      <c r="B480" s="4"/>
      <c r="C480" s="4"/>
      <c r="D480" s="4"/>
      <c r="E480" s="4"/>
      <c r="F480" s="4"/>
      <c r="G480" s="4"/>
    </row>
    <row r="481" spans="1:7" ht="15.75" customHeight="1" x14ac:dyDescent="0.35">
      <c r="A481" s="4"/>
      <c r="B481" s="4"/>
      <c r="C481" s="4"/>
      <c r="D481" s="4"/>
      <c r="E481" s="4"/>
      <c r="F481" s="4"/>
      <c r="G481" s="4"/>
    </row>
    <row r="482" spans="1:7" ht="15.75" customHeight="1" x14ac:dyDescent="0.35">
      <c r="A482" s="4"/>
      <c r="B482" s="4"/>
      <c r="C482" s="4"/>
      <c r="D482" s="4"/>
      <c r="E482" s="4"/>
      <c r="F482" s="4"/>
      <c r="G482" s="4"/>
    </row>
    <row r="483" spans="1:7" ht="15.75" customHeight="1" x14ac:dyDescent="0.35">
      <c r="A483" s="4"/>
      <c r="B483" s="4"/>
      <c r="C483" s="4"/>
      <c r="D483" s="4"/>
      <c r="E483" s="4"/>
      <c r="F483" s="4"/>
      <c r="G483" s="4"/>
    </row>
    <row r="484" spans="1:7" ht="15.75" customHeight="1" x14ac:dyDescent="0.35">
      <c r="A484" s="4"/>
      <c r="B484" s="4"/>
      <c r="C484" s="4"/>
      <c r="D484" s="4"/>
      <c r="E484" s="4"/>
      <c r="F484" s="4"/>
      <c r="G484" s="4"/>
    </row>
    <row r="485" spans="1:7" ht="15.75" customHeight="1" x14ac:dyDescent="0.35">
      <c r="A485" s="4"/>
      <c r="B485" s="4"/>
      <c r="C485" s="4"/>
      <c r="D485" s="4"/>
      <c r="E485" s="4"/>
      <c r="F485" s="4"/>
      <c r="G485" s="4"/>
    </row>
    <row r="486" spans="1:7" ht="15.75" customHeight="1" x14ac:dyDescent="0.35">
      <c r="A486" s="4"/>
      <c r="B486" s="4"/>
      <c r="C486" s="4"/>
      <c r="D486" s="4"/>
      <c r="E486" s="4"/>
      <c r="F486" s="4"/>
      <c r="G486" s="4"/>
    </row>
    <row r="487" spans="1:7" ht="15.75" customHeight="1" x14ac:dyDescent="0.35">
      <c r="A487" s="4"/>
      <c r="B487" s="4"/>
      <c r="C487" s="4"/>
      <c r="D487" s="4"/>
      <c r="E487" s="4"/>
      <c r="F487" s="4"/>
      <c r="G487" s="4"/>
    </row>
    <row r="488" spans="1:7" ht="15.75" customHeight="1" x14ac:dyDescent="0.35">
      <c r="A488" s="4"/>
      <c r="B488" s="4"/>
      <c r="C488" s="4"/>
      <c r="D488" s="4"/>
      <c r="E488" s="4"/>
      <c r="F488" s="4"/>
      <c r="G488" s="4"/>
    </row>
    <row r="489" spans="1:7" ht="15.75" customHeight="1" x14ac:dyDescent="0.35">
      <c r="A489" s="4"/>
      <c r="B489" s="4"/>
      <c r="C489" s="4"/>
      <c r="D489" s="4"/>
      <c r="E489" s="4"/>
      <c r="F489" s="4"/>
      <c r="G489" s="4"/>
    </row>
    <row r="490" spans="1:7" ht="15.75" customHeight="1" x14ac:dyDescent="0.35">
      <c r="A490" s="4"/>
      <c r="B490" s="4"/>
      <c r="C490" s="4"/>
      <c r="D490" s="4"/>
      <c r="E490" s="4"/>
      <c r="F490" s="4"/>
      <c r="G490" s="4"/>
    </row>
    <row r="491" spans="1:7" ht="15.75" customHeight="1" x14ac:dyDescent="0.35">
      <c r="A491" s="4"/>
      <c r="B491" s="4"/>
      <c r="C491" s="4"/>
      <c r="D491" s="4"/>
      <c r="E491" s="4"/>
      <c r="F491" s="4"/>
      <c r="G491" s="4"/>
    </row>
    <row r="492" spans="1:7" ht="15.75" customHeight="1" x14ac:dyDescent="0.35">
      <c r="A492" s="4"/>
      <c r="B492" s="4"/>
      <c r="C492" s="4"/>
      <c r="D492" s="4"/>
      <c r="E492" s="4"/>
      <c r="F492" s="4"/>
      <c r="G492" s="4"/>
    </row>
    <row r="493" spans="1:7" ht="15.75" customHeight="1" x14ac:dyDescent="0.35">
      <c r="A493" s="4"/>
      <c r="B493" s="4"/>
      <c r="C493" s="4"/>
      <c r="D493" s="4"/>
      <c r="E493" s="4"/>
      <c r="F493" s="4"/>
      <c r="G493" s="4"/>
    </row>
    <row r="494" spans="1:7" ht="15.75" customHeight="1" x14ac:dyDescent="0.35">
      <c r="A494" s="4"/>
      <c r="B494" s="4"/>
      <c r="C494" s="4"/>
      <c r="D494" s="4"/>
      <c r="E494" s="4"/>
      <c r="F494" s="4"/>
      <c r="G494" s="4"/>
    </row>
    <row r="495" spans="1:7" ht="15.75" customHeight="1" x14ac:dyDescent="0.35">
      <c r="A495" s="4"/>
      <c r="B495" s="4"/>
      <c r="C495" s="4"/>
      <c r="D495" s="4"/>
      <c r="E495" s="4"/>
      <c r="F495" s="4"/>
      <c r="G495" s="4"/>
    </row>
    <row r="496" spans="1:7" ht="15.75" customHeight="1" x14ac:dyDescent="0.35">
      <c r="A496" s="4"/>
      <c r="B496" s="4"/>
      <c r="C496" s="4"/>
      <c r="D496" s="4"/>
      <c r="E496" s="4"/>
      <c r="F496" s="4"/>
      <c r="G496" s="4"/>
    </row>
    <row r="497" spans="1:7" ht="15.75" customHeight="1" x14ac:dyDescent="0.35">
      <c r="A497" s="4"/>
      <c r="B497" s="4"/>
      <c r="C497" s="4"/>
      <c r="D497" s="4"/>
      <c r="E497" s="4"/>
      <c r="F497" s="4"/>
      <c r="G497" s="4"/>
    </row>
    <row r="498" spans="1:7" ht="15.75" customHeight="1" x14ac:dyDescent="0.35">
      <c r="A498" s="4"/>
      <c r="B498" s="4"/>
      <c r="C498" s="4"/>
      <c r="D498" s="4"/>
      <c r="E498" s="4"/>
      <c r="F498" s="4"/>
      <c r="G498" s="4"/>
    </row>
    <row r="499" spans="1:7" ht="15.75" customHeight="1" x14ac:dyDescent="0.35">
      <c r="A499" s="4"/>
      <c r="B499" s="4"/>
      <c r="C499" s="4"/>
      <c r="D499" s="4"/>
      <c r="E499" s="4"/>
      <c r="F499" s="4"/>
      <c r="G499" s="4"/>
    </row>
    <row r="500" spans="1:7" ht="15.75" customHeight="1" x14ac:dyDescent="0.35">
      <c r="A500" s="4"/>
      <c r="B500" s="4"/>
      <c r="C500" s="4"/>
      <c r="D500" s="4"/>
      <c r="E500" s="4"/>
      <c r="F500" s="4"/>
      <c r="G500" s="4"/>
    </row>
    <row r="501" spans="1:7" ht="15.75" customHeight="1" x14ac:dyDescent="0.35">
      <c r="A501" s="4"/>
      <c r="B501" s="4"/>
      <c r="C501" s="4"/>
      <c r="D501" s="4"/>
      <c r="E501" s="4"/>
      <c r="F501" s="4"/>
      <c r="G501" s="4"/>
    </row>
    <row r="502" spans="1:7" ht="15.75" customHeight="1" x14ac:dyDescent="0.35">
      <c r="A502" s="4"/>
      <c r="B502" s="4"/>
      <c r="C502" s="4"/>
      <c r="D502" s="4"/>
      <c r="E502" s="4"/>
      <c r="F502" s="4"/>
      <c r="G502" s="4"/>
    </row>
    <row r="503" spans="1:7" ht="15.75" customHeight="1" x14ac:dyDescent="0.35">
      <c r="A503" s="4"/>
      <c r="B503" s="4"/>
      <c r="C503" s="4"/>
      <c r="D503" s="4"/>
      <c r="E503" s="4"/>
      <c r="F503" s="4"/>
      <c r="G503" s="4"/>
    </row>
    <row r="504" spans="1:7" ht="15.75" customHeight="1" x14ac:dyDescent="0.35">
      <c r="A504" s="4"/>
      <c r="B504" s="4"/>
      <c r="C504" s="4"/>
      <c r="D504" s="4"/>
      <c r="E504" s="4"/>
      <c r="F504" s="4"/>
      <c r="G504" s="4"/>
    </row>
    <row r="505" spans="1:7" ht="15.75" customHeight="1" x14ac:dyDescent="0.35">
      <c r="A505" s="4"/>
      <c r="B505" s="4"/>
      <c r="C505" s="4"/>
      <c r="D505" s="4"/>
      <c r="E505" s="4"/>
      <c r="F505" s="4"/>
      <c r="G505" s="4"/>
    </row>
    <row r="506" spans="1:7" ht="15.75" customHeight="1" x14ac:dyDescent="0.35">
      <c r="A506" s="4"/>
      <c r="B506" s="4"/>
      <c r="C506" s="4"/>
      <c r="D506" s="4"/>
      <c r="E506" s="4"/>
      <c r="F506" s="4"/>
      <c r="G506" s="4"/>
    </row>
    <row r="507" spans="1:7" ht="15.75" customHeight="1" x14ac:dyDescent="0.35">
      <c r="A507" s="4"/>
      <c r="B507" s="4"/>
      <c r="C507" s="4"/>
      <c r="D507" s="4"/>
      <c r="E507" s="4"/>
      <c r="F507" s="4"/>
      <c r="G507" s="4"/>
    </row>
    <row r="508" spans="1:7" ht="15.75" customHeight="1" x14ac:dyDescent="0.35">
      <c r="A508" s="4"/>
      <c r="B508" s="4"/>
      <c r="C508" s="4"/>
      <c r="D508" s="4"/>
      <c r="E508" s="4"/>
      <c r="F508" s="4"/>
      <c r="G508" s="4"/>
    </row>
    <row r="509" spans="1:7" ht="15.75" customHeight="1" x14ac:dyDescent="0.35">
      <c r="A509" s="4"/>
      <c r="B509" s="4"/>
      <c r="C509" s="4"/>
      <c r="D509" s="4"/>
      <c r="E509" s="4"/>
      <c r="F509" s="4"/>
      <c r="G509" s="4"/>
    </row>
    <row r="510" spans="1:7" ht="15.75" customHeight="1" x14ac:dyDescent="0.35">
      <c r="A510" s="4"/>
      <c r="B510" s="4"/>
      <c r="C510" s="4"/>
      <c r="D510" s="4"/>
      <c r="E510" s="4"/>
      <c r="F510" s="4"/>
      <c r="G510" s="4"/>
    </row>
    <row r="511" spans="1:7" ht="15.75" customHeight="1" x14ac:dyDescent="0.35">
      <c r="A511" s="4"/>
      <c r="B511" s="4"/>
      <c r="C511" s="4"/>
      <c r="D511" s="4"/>
      <c r="E511" s="4"/>
      <c r="F511" s="4"/>
      <c r="G511" s="4"/>
    </row>
    <row r="512" spans="1:7" ht="15.75" customHeight="1" x14ac:dyDescent="0.35">
      <c r="A512" s="4"/>
      <c r="B512" s="4"/>
      <c r="C512" s="4"/>
      <c r="D512" s="4"/>
      <c r="E512" s="4"/>
      <c r="F512" s="4"/>
      <c r="G512" s="4"/>
    </row>
    <row r="513" spans="1:7" ht="15.75" customHeight="1" x14ac:dyDescent="0.35">
      <c r="A513" s="4"/>
      <c r="B513" s="4"/>
      <c r="C513" s="4"/>
      <c r="D513" s="4"/>
      <c r="E513" s="4"/>
      <c r="F513" s="4"/>
      <c r="G513" s="4"/>
    </row>
    <row r="514" spans="1:7" ht="15.75" customHeight="1" x14ac:dyDescent="0.35">
      <c r="A514" s="4"/>
      <c r="B514" s="4"/>
      <c r="C514" s="4"/>
      <c r="D514" s="4"/>
      <c r="E514" s="4"/>
      <c r="F514" s="4"/>
      <c r="G514" s="4"/>
    </row>
    <row r="515" spans="1:7" ht="15.75" customHeight="1" x14ac:dyDescent="0.35">
      <c r="A515" s="4"/>
      <c r="B515" s="4"/>
      <c r="C515" s="4"/>
      <c r="D515" s="4"/>
      <c r="E515" s="4"/>
      <c r="F515" s="4"/>
      <c r="G515" s="4"/>
    </row>
    <row r="516" spans="1:7" ht="15.75" customHeight="1" x14ac:dyDescent="0.35">
      <c r="A516" s="4"/>
      <c r="B516" s="4"/>
      <c r="C516" s="4"/>
      <c r="D516" s="4"/>
      <c r="E516" s="4"/>
      <c r="F516" s="4"/>
      <c r="G516" s="4"/>
    </row>
    <row r="517" spans="1:7" ht="15.75" customHeight="1" x14ac:dyDescent="0.35">
      <c r="A517" s="4"/>
      <c r="B517" s="4"/>
      <c r="C517" s="4"/>
      <c r="D517" s="4"/>
      <c r="E517" s="4"/>
      <c r="F517" s="4"/>
      <c r="G517" s="4"/>
    </row>
    <row r="518" spans="1:7" ht="15.75" customHeight="1" x14ac:dyDescent="0.35">
      <c r="A518" s="4"/>
      <c r="B518" s="4"/>
      <c r="C518" s="4"/>
      <c r="D518" s="4"/>
      <c r="E518" s="4"/>
      <c r="F518" s="4"/>
      <c r="G518" s="4"/>
    </row>
    <row r="519" spans="1:7" ht="15.75" customHeight="1" x14ac:dyDescent="0.35">
      <c r="A519" s="4"/>
      <c r="B519" s="4"/>
      <c r="C519" s="4"/>
      <c r="D519" s="4"/>
      <c r="E519" s="4"/>
      <c r="F519" s="4"/>
      <c r="G519" s="4"/>
    </row>
    <row r="520" spans="1:7" ht="15.75" customHeight="1" x14ac:dyDescent="0.35">
      <c r="A520" s="4"/>
      <c r="B520" s="4"/>
      <c r="C520" s="4"/>
      <c r="D520" s="4"/>
      <c r="E520" s="4"/>
      <c r="F520" s="4"/>
      <c r="G520" s="4"/>
    </row>
    <row r="521" spans="1:7" ht="15.75" customHeight="1" x14ac:dyDescent="0.35">
      <c r="A521" s="4"/>
      <c r="B521" s="4"/>
      <c r="C521" s="4"/>
      <c r="D521" s="4"/>
      <c r="E521" s="4"/>
      <c r="F521" s="4"/>
      <c r="G521" s="4"/>
    </row>
    <row r="522" spans="1:7" ht="15.75" customHeight="1" x14ac:dyDescent="0.35">
      <c r="A522" s="4"/>
      <c r="B522" s="4"/>
      <c r="C522" s="4"/>
      <c r="D522" s="4"/>
      <c r="E522" s="4"/>
      <c r="F522" s="4"/>
      <c r="G522" s="4"/>
    </row>
    <row r="523" spans="1:7" ht="15.75" customHeight="1" x14ac:dyDescent="0.35">
      <c r="A523" s="4"/>
      <c r="B523" s="4"/>
      <c r="C523" s="4"/>
      <c r="D523" s="4"/>
      <c r="E523" s="4"/>
      <c r="F523" s="4"/>
      <c r="G523" s="4"/>
    </row>
    <row r="524" spans="1:7" ht="15.75" customHeight="1" x14ac:dyDescent="0.35">
      <c r="A524" s="4"/>
      <c r="B524" s="4"/>
      <c r="C524" s="4"/>
      <c r="D524" s="4"/>
      <c r="E524" s="4"/>
      <c r="F524" s="4"/>
      <c r="G524" s="4"/>
    </row>
    <row r="525" spans="1:7" ht="15.75" customHeight="1" x14ac:dyDescent="0.35">
      <c r="A525" s="4"/>
      <c r="B525" s="4"/>
      <c r="C525" s="4"/>
      <c r="D525" s="4"/>
      <c r="E525" s="4"/>
      <c r="F525" s="4"/>
      <c r="G525" s="4"/>
    </row>
    <row r="526" spans="1:7" ht="15.75" customHeight="1" x14ac:dyDescent="0.35">
      <c r="A526" s="4"/>
      <c r="B526" s="4"/>
      <c r="C526" s="4"/>
      <c r="D526" s="4"/>
      <c r="E526" s="4"/>
      <c r="F526" s="4"/>
      <c r="G526" s="4"/>
    </row>
    <row r="527" spans="1:7" ht="15.75" customHeight="1" x14ac:dyDescent="0.35">
      <c r="A527" s="4"/>
      <c r="B527" s="4"/>
      <c r="C527" s="4"/>
      <c r="D527" s="4"/>
      <c r="E527" s="4"/>
      <c r="F527" s="4"/>
      <c r="G527" s="4"/>
    </row>
    <row r="528" spans="1:7" ht="15.75" customHeight="1" x14ac:dyDescent="0.35">
      <c r="A528" s="4"/>
      <c r="B528" s="4"/>
      <c r="C528" s="4"/>
      <c r="D528" s="4"/>
      <c r="E528" s="4"/>
      <c r="F528" s="4"/>
      <c r="G528" s="4"/>
    </row>
    <row r="529" spans="1:7" ht="15.75" customHeight="1" x14ac:dyDescent="0.35">
      <c r="A529" s="4"/>
      <c r="B529" s="4"/>
      <c r="C529" s="4"/>
      <c r="D529" s="4"/>
      <c r="E529" s="4"/>
      <c r="F529" s="4"/>
      <c r="G529" s="4"/>
    </row>
    <row r="530" spans="1:7" ht="15.75" customHeight="1" x14ac:dyDescent="0.35">
      <c r="A530" s="4"/>
      <c r="B530" s="4"/>
      <c r="C530" s="4"/>
      <c r="D530" s="4"/>
      <c r="E530" s="4"/>
      <c r="F530" s="4"/>
      <c r="G530" s="4"/>
    </row>
    <row r="531" spans="1:7" ht="15.75" customHeight="1" x14ac:dyDescent="0.35">
      <c r="A531" s="4"/>
      <c r="B531" s="4"/>
      <c r="C531" s="4"/>
      <c r="D531" s="4"/>
      <c r="E531" s="4"/>
      <c r="F531" s="4"/>
      <c r="G531" s="4"/>
    </row>
    <row r="532" spans="1:7" ht="15.75" customHeight="1" x14ac:dyDescent="0.35">
      <c r="A532" s="4"/>
      <c r="B532" s="4"/>
      <c r="C532" s="4"/>
      <c r="D532" s="4"/>
      <c r="E532" s="4"/>
      <c r="F532" s="4"/>
      <c r="G532" s="4"/>
    </row>
    <row r="533" spans="1:7" ht="15.75" customHeight="1" x14ac:dyDescent="0.35">
      <c r="A533" s="4"/>
      <c r="B533" s="4"/>
      <c r="C533" s="4"/>
      <c r="D533" s="4"/>
      <c r="E533" s="4"/>
      <c r="F533" s="4"/>
      <c r="G533" s="4"/>
    </row>
    <row r="534" spans="1:7" ht="15.75" customHeight="1" x14ac:dyDescent="0.35">
      <c r="A534" s="4"/>
      <c r="B534" s="4"/>
      <c r="C534" s="4"/>
      <c r="D534" s="4"/>
      <c r="E534" s="4"/>
      <c r="F534" s="4"/>
      <c r="G534" s="4"/>
    </row>
    <row r="535" spans="1:7" ht="15.75" customHeight="1" x14ac:dyDescent="0.35">
      <c r="A535" s="4"/>
      <c r="B535" s="4"/>
      <c r="C535" s="4"/>
      <c r="D535" s="4"/>
      <c r="E535" s="4"/>
      <c r="F535" s="4"/>
      <c r="G535" s="4"/>
    </row>
    <row r="536" spans="1:7" ht="15.75" customHeight="1" x14ac:dyDescent="0.35">
      <c r="A536" s="4"/>
      <c r="B536" s="4"/>
      <c r="C536" s="4"/>
      <c r="D536" s="4"/>
      <c r="E536" s="4"/>
      <c r="F536" s="4"/>
      <c r="G536" s="4"/>
    </row>
    <row r="537" spans="1:7" ht="15.75" customHeight="1" x14ac:dyDescent="0.35">
      <c r="A537" s="4"/>
      <c r="B537" s="4"/>
      <c r="C537" s="4"/>
      <c r="D537" s="4"/>
      <c r="E537" s="4"/>
      <c r="F537" s="4"/>
      <c r="G537" s="4"/>
    </row>
    <row r="538" spans="1:7" ht="15.75" customHeight="1" x14ac:dyDescent="0.35">
      <c r="A538" s="4"/>
      <c r="B538" s="4"/>
      <c r="C538" s="4"/>
      <c r="D538" s="4"/>
      <c r="E538" s="4"/>
      <c r="F538" s="4"/>
      <c r="G538" s="4"/>
    </row>
    <row r="539" spans="1:7" ht="15.75" customHeight="1" x14ac:dyDescent="0.35">
      <c r="A539" s="4"/>
      <c r="B539" s="4"/>
      <c r="C539" s="4"/>
      <c r="D539" s="4"/>
      <c r="E539" s="4"/>
      <c r="F539" s="4"/>
      <c r="G539" s="4"/>
    </row>
    <row r="540" spans="1:7" ht="15.75" customHeight="1" x14ac:dyDescent="0.35">
      <c r="A540" s="4"/>
      <c r="B540" s="4"/>
      <c r="C540" s="4"/>
      <c r="D540" s="4"/>
      <c r="E540" s="4"/>
      <c r="F540" s="4"/>
      <c r="G540" s="4"/>
    </row>
    <row r="541" spans="1:7" ht="15.75" customHeight="1" x14ac:dyDescent="0.35">
      <c r="A541" s="4"/>
      <c r="B541" s="4"/>
      <c r="C541" s="4"/>
      <c r="D541" s="4"/>
      <c r="E541" s="4"/>
      <c r="F541" s="4"/>
      <c r="G541" s="4"/>
    </row>
    <row r="542" spans="1:7" ht="15.75" customHeight="1" x14ac:dyDescent="0.35">
      <c r="A542" s="4"/>
      <c r="B542" s="4"/>
      <c r="C542" s="4"/>
      <c r="D542" s="4"/>
      <c r="E542" s="4"/>
      <c r="F542" s="4"/>
      <c r="G542" s="4"/>
    </row>
    <row r="543" spans="1:7" ht="15.75" customHeight="1" x14ac:dyDescent="0.35">
      <c r="A543" s="4"/>
      <c r="B543" s="4"/>
      <c r="C543" s="4"/>
      <c r="D543" s="4"/>
      <c r="E543" s="4"/>
      <c r="F543" s="4"/>
      <c r="G543" s="4"/>
    </row>
    <row r="544" spans="1:7" ht="15.75" customHeight="1" x14ac:dyDescent="0.35">
      <c r="A544" s="4"/>
      <c r="B544" s="4"/>
      <c r="C544" s="4"/>
      <c r="D544" s="4"/>
      <c r="E544" s="4"/>
      <c r="F544" s="4"/>
      <c r="G544" s="4"/>
    </row>
    <row r="545" spans="1:7" ht="15.75" customHeight="1" x14ac:dyDescent="0.35">
      <c r="A545" s="4"/>
      <c r="B545" s="4"/>
      <c r="C545" s="4"/>
      <c r="D545" s="4"/>
      <c r="E545" s="4"/>
      <c r="F545" s="4"/>
      <c r="G545" s="4"/>
    </row>
    <row r="546" spans="1:7" ht="15.75" customHeight="1" x14ac:dyDescent="0.35">
      <c r="A546" s="4"/>
      <c r="B546" s="4"/>
      <c r="C546" s="4"/>
      <c r="D546" s="4"/>
      <c r="E546" s="4"/>
      <c r="F546" s="4"/>
      <c r="G546" s="4"/>
    </row>
    <row r="547" spans="1:7" ht="15.75" customHeight="1" x14ac:dyDescent="0.35">
      <c r="A547" s="4"/>
      <c r="B547" s="4"/>
      <c r="C547" s="4"/>
      <c r="D547" s="4"/>
      <c r="E547" s="4"/>
      <c r="F547" s="4"/>
      <c r="G547" s="4"/>
    </row>
    <row r="548" spans="1:7" ht="15.75" customHeight="1" x14ac:dyDescent="0.35">
      <c r="A548" s="4"/>
      <c r="B548" s="4"/>
      <c r="C548" s="4"/>
      <c r="D548" s="4"/>
      <c r="E548" s="4"/>
      <c r="F548" s="4"/>
      <c r="G548" s="4"/>
    </row>
    <row r="549" spans="1:7" ht="15.75" customHeight="1" x14ac:dyDescent="0.35">
      <c r="A549" s="4"/>
      <c r="B549" s="4"/>
      <c r="C549" s="4"/>
      <c r="D549" s="4"/>
      <c r="E549" s="4"/>
      <c r="F549" s="4"/>
      <c r="G549" s="4"/>
    </row>
    <row r="550" spans="1:7" ht="15.75" customHeight="1" x14ac:dyDescent="0.35">
      <c r="A550" s="4"/>
      <c r="B550" s="4"/>
      <c r="C550" s="4"/>
      <c r="D550" s="4"/>
      <c r="E550" s="4"/>
      <c r="F550" s="4"/>
      <c r="G550" s="4"/>
    </row>
    <row r="551" spans="1:7" ht="15.75" customHeight="1" x14ac:dyDescent="0.35">
      <c r="A551" s="4"/>
      <c r="B551" s="4"/>
      <c r="C551" s="4"/>
      <c r="D551" s="4"/>
      <c r="E551" s="4"/>
      <c r="F551" s="4"/>
      <c r="G551" s="4"/>
    </row>
    <row r="552" spans="1:7" ht="15.75" customHeight="1" x14ac:dyDescent="0.35">
      <c r="A552" s="4"/>
      <c r="B552" s="4"/>
      <c r="C552" s="4"/>
      <c r="D552" s="4"/>
      <c r="E552" s="4"/>
      <c r="F552" s="4"/>
      <c r="G552" s="4"/>
    </row>
    <row r="553" spans="1:7" ht="15.75" customHeight="1" x14ac:dyDescent="0.35">
      <c r="A553" s="4"/>
      <c r="B553" s="4"/>
      <c r="C553" s="4"/>
      <c r="D553" s="4"/>
      <c r="E553" s="4"/>
      <c r="F553" s="4"/>
      <c r="G553" s="4"/>
    </row>
    <row r="554" spans="1:7" ht="15.75" customHeight="1" x14ac:dyDescent="0.35">
      <c r="A554" s="4"/>
      <c r="B554" s="4"/>
      <c r="C554" s="4"/>
      <c r="D554" s="4"/>
      <c r="E554" s="4"/>
      <c r="F554" s="4"/>
      <c r="G554" s="4"/>
    </row>
    <row r="555" spans="1:7" ht="15.75" customHeight="1" x14ac:dyDescent="0.35">
      <c r="A555" s="4"/>
      <c r="B555" s="4"/>
      <c r="C555" s="4"/>
      <c r="D555" s="4"/>
      <c r="E555" s="4"/>
      <c r="F555" s="4"/>
      <c r="G555" s="4"/>
    </row>
    <row r="556" spans="1:7" ht="15.75" customHeight="1" x14ac:dyDescent="0.35">
      <c r="A556" s="4"/>
      <c r="B556" s="4"/>
      <c r="C556" s="4"/>
      <c r="D556" s="4"/>
      <c r="E556" s="4"/>
      <c r="F556" s="4"/>
      <c r="G556" s="4"/>
    </row>
    <row r="557" spans="1:7" ht="15.75" customHeight="1" x14ac:dyDescent="0.35">
      <c r="A557" s="4"/>
      <c r="B557" s="4"/>
      <c r="C557" s="4"/>
      <c r="D557" s="4"/>
      <c r="E557" s="4"/>
      <c r="F557" s="4"/>
      <c r="G557" s="4"/>
    </row>
    <row r="558" spans="1:7" ht="15.75" customHeight="1" x14ac:dyDescent="0.35">
      <c r="A558" s="4"/>
      <c r="B558" s="4"/>
      <c r="C558" s="4"/>
      <c r="D558" s="4"/>
      <c r="E558" s="4"/>
      <c r="F558" s="4"/>
      <c r="G558" s="4"/>
    </row>
    <row r="559" spans="1:7" ht="15.75" customHeight="1" x14ac:dyDescent="0.35">
      <c r="A559" s="4"/>
      <c r="B559" s="4"/>
      <c r="C559" s="4"/>
      <c r="D559" s="4"/>
      <c r="E559" s="4"/>
      <c r="F559" s="4"/>
      <c r="G559" s="4"/>
    </row>
    <row r="560" spans="1:7" ht="15.75" customHeight="1" x14ac:dyDescent="0.35">
      <c r="A560" s="4"/>
      <c r="B560" s="4"/>
      <c r="C560" s="4"/>
      <c r="D560" s="4"/>
      <c r="E560" s="4"/>
      <c r="F560" s="4"/>
      <c r="G560" s="4"/>
    </row>
    <row r="561" spans="1:7" ht="15.75" customHeight="1" x14ac:dyDescent="0.35">
      <c r="A561" s="4"/>
      <c r="B561" s="4"/>
      <c r="C561" s="4"/>
      <c r="D561" s="4"/>
      <c r="E561" s="4"/>
      <c r="F561" s="4"/>
      <c r="G561" s="4"/>
    </row>
    <row r="562" spans="1:7" ht="15.75" customHeight="1" x14ac:dyDescent="0.35">
      <c r="A562" s="4"/>
      <c r="B562" s="4"/>
      <c r="C562" s="4"/>
      <c r="D562" s="4"/>
      <c r="E562" s="4"/>
      <c r="F562" s="4"/>
      <c r="G562" s="4"/>
    </row>
    <row r="563" spans="1:7" ht="15.75" customHeight="1" x14ac:dyDescent="0.35">
      <c r="A563" s="4"/>
      <c r="B563" s="4"/>
      <c r="C563" s="4"/>
      <c r="D563" s="4"/>
      <c r="E563" s="4"/>
      <c r="F563" s="4"/>
      <c r="G563" s="4"/>
    </row>
    <row r="564" spans="1:7" ht="15.75" customHeight="1" x14ac:dyDescent="0.35">
      <c r="A564" s="4"/>
      <c r="B564" s="4"/>
      <c r="C564" s="4"/>
      <c r="D564" s="4"/>
      <c r="E564" s="4"/>
      <c r="F564" s="4"/>
      <c r="G564" s="4"/>
    </row>
    <row r="565" spans="1:7" ht="15.75" customHeight="1" x14ac:dyDescent="0.35">
      <c r="A565" s="4"/>
      <c r="B565" s="4"/>
      <c r="C565" s="4"/>
      <c r="D565" s="4"/>
      <c r="E565" s="4"/>
      <c r="F565" s="4"/>
      <c r="G565" s="4"/>
    </row>
    <row r="566" spans="1:7" ht="15.75" customHeight="1" x14ac:dyDescent="0.35">
      <c r="A566" s="4"/>
      <c r="B566" s="4"/>
      <c r="C566" s="4"/>
      <c r="D566" s="4"/>
      <c r="E566" s="4"/>
      <c r="F566" s="4"/>
      <c r="G566" s="4"/>
    </row>
    <row r="567" spans="1:7" ht="15.75" customHeight="1" x14ac:dyDescent="0.35">
      <c r="A567" s="4"/>
      <c r="B567" s="4"/>
      <c r="C567" s="4"/>
      <c r="D567" s="4"/>
      <c r="E567" s="4"/>
      <c r="F567" s="4"/>
      <c r="G567" s="4"/>
    </row>
    <row r="568" spans="1:7" ht="15.75" customHeight="1" x14ac:dyDescent="0.35">
      <c r="A568" s="4"/>
      <c r="B568" s="4"/>
      <c r="C568" s="4"/>
      <c r="D568" s="4"/>
      <c r="E568" s="4"/>
      <c r="F568" s="4"/>
      <c r="G568" s="4"/>
    </row>
    <row r="569" spans="1:7" ht="15.75" customHeight="1" x14ac:dyDescent="0.35">
      <c r="A569" s="4"/>
      <c r="B569" s="4"/>
      <c r="C569" s="4"/>
      <c r="D569" s="4"/>
      <c r="E569" s="4"/>
      <c r="F569" s="4"/>
      <c r="G569" s="4"/>
    </row>
    <row r="570" spans="1:7" ht="15.75" customHeight="1" x14ac:dyDescent="0.35">
      <c r="A570" s="4"/>
      <c r="B570" s="4"/>
      <c r="C570" s="4"/>
      <c r="D570" s="4"/>
      <c r="E570" s="4"/>
      <c r="F570" s="4"/>
      <c r="G570" s="4"/>
    </row>
    <row r="571" spans="1:7" ht="15.75" customHeight="1" x14ac:dyDescent="0.35">
      <c r="A571" s="4"/>
      <c r="B571" s="4"/>
      <c r="C571" s="4"/>
      <c r="D571" s="4"/>
      <c r="E571" s="4"/>
      <c r="F571" s="4"/>
      <c r="G571" s="4"/>
    </row>
    <row r="572" spans="1:7" ht="15.75" customHeight="1" x14ac:dyDescent="0.35">
      <c r="A572" s="4"/>
      <c r="B572" s="4"/>
      <c r="C572" s="4"/>
      <c r="D572" s="4"/>
      <c r="E572" s="4"/>
      <c r="F572" s="4"/>
      <c r="G572" s="4"/>
    </row>
    <row r="573" spans="1:7" ht="15.75" customHeight="1" x14ac:dyDescent="0.35">
      <c r="A573" s="4"/>
      <c r="B573" s="4"/>
      <c r="C573" s="4"/>
      <c r="D573" s="4"/>
      <c r="E573" s="4"/>
      <c r="F573" s="4"/>
      <c r="G573" s="4"/>
    </row>
    <row r="574" spans="1:7" ht="15.75" customHeight="1" x14ac:dyDescent="0.35">
      <c r="A574" s="4"/>
      <c r="B574" s="4"/>
      <c r="C574" s="4"/>
      <c r="D574" s="4"/>
      <c r="E574" s="4"/>
      <c r="F574" s="4"/>
      <c r="G574" s="4"/>
    </row>
    <row r="575" spans="1:7" ht="15.75" customHeight="1" x14ac:dyDescent="0.35">
      <c r="A575" s="4"/>
      <c r="B575" s="4"/>
      <c r="C575" s="4"/>
      <c r="D575" s="4"/>
      <c r="E575" s="4"/>
      <c r="F575" s="4"/>
      <c r="G575" s="4"/>
    </row>
    <row r="576" spans="1:7" ht="15.75" customHeight="1" x14ac:dyDescent="0.35">
      <c r="A576" s="4"/>
      <c r="B576" s="4"/>
      <c r="C576" s="4"/>
      <c r="D576" s="4"/>
      <c r="E576" s="4"/>
      <c r="F576" s="4"/>
      <c r="G576" s="4"/>
    </row>
    <row r="577" spans="1:7" ht="15.75" customHeight="1" x14ac:dyDescent="0.35">
      <c r="A577" s="4"/>
      <c r="B577" s="4"/>
      <c r="C577" s="4"/>
      <c r="D577" s="4"/>
      <c r="E577" s="4"/>
      <c r="F577" s="4"/>
      <c r="G577" s="4"/>
    </row>
    <row r="578" spans="1:7" ht="15.75" customHeight="1" x14ac:dyDescent="0.35">
      <c r="A578" s="4"/>
      <c r="B578" s="4"/>
      <c r="C578" s="4"/>
      <c r="D578" s="4"/>
      <c r="E578" s="4"/>
      <c r="F578" s="4"/>
      <c r="G578" s="4"/>
    </row>
    <row r="579" spans="1:7" ht="15.75" customHeight="1" x14ac:dyDescent="0.35">
      <c r="A579" s="4"/>
      <c r="B579" s="4"/>
      <c r="C579" s="4"/>
      <c r="D579" s="4"/>
      <c r="E579" s="4"/>
      <c r="F579" s="4"/>
      <c r="G579" s="4"/>
    </row>
    <row r="580" spans="1:7" ht="15.75" customHeight="1" x14ac:dyDescent="0.35">
      <c r="A580" s="4"/>
      <c r="B580" s="4"/>
      <c r="C580" s="4"/>
      <c r="D580" s="4"/>
      <c r="E580" s="4"/>
      <c r="F580" s="4"/>
      <c r="G580" s="4"/>
    </row>
    <row r="581" spans="1:7" ht="15.75" customHeight="1" x14ac:dyDescent="0.35">
      <c r="A581" s="4"/>
      <c r="B581" s="4"/>
      <c r="C581" s="4"/>
      <c r="D581" s="4"/>
      <c r="E581" s="4"/>
      <c r="F581" s="4"/>
      <c r="G581" s="4"/>
    </row>
    <row r="582" spans="1:7" ht="15.75" customHeight="1" x14ac:dyDescent="0.35">
      <c r="A582" s="4"/>
      <c r="B582" s="4"/>
      <c r="C582" s="4"/>
      <c r="D582" s="4"/>
      <c r="E582" s="4"/>
      <c r="F582" s="4"/>
      <c r="G582" s="4"/>
    </row>
    <row r="583" spans="1:7" ht="15.75" customHeight="1" x14ac:dyDescent="0.35">
      <c r="A583" s="4"/>
      <c r="B583" s="4"/>
      <c r="C583" s="4"/>
      <c r="D583" s="4"/>
      <c r="E583" s="4"/>
      <c r="F583" s="4"/>
      <c r="G583" s="4"/>
    </row>
    <row r="584" spans="1:7" ht="15.75" customHeight="1" x14ac:dyDescent="0.35">
      <c r="A584" s="4"/>
      <c r="B584" s="4"/>
      <c r="C584" s="4"/>
      <c r="D584" s="4"/>
      <c r="E584" s="4"/>
      <c r="F584" s="4"/>
      <c r="G584" s="4"/>
    </row>
    <row r="585" spans="1:7" ht="15.75" customHeight="1" x14ac:dyDescent="0.35">
      <c r="A585" s="4"/>
      <c r="B585" s="4"/>
      <c r="C585" s="4"/>
      <c r="D585" s="4"/>
      <c r="E585" s="4"/>
      <c r="F585" s="4"/>
      <c r="G585" s="4"/>
    </row>
    <row r="586" spans="1:7" ht="15.75" customHeight="1" x14ac:dyDescent="0.35">
      <c r="A586" s="4"/>
      <c r="B586" s="4"/>
      <c r="C586" s="4"/>
      <c r="D586" s="4"/>
      <c r="E586" s="4"/>
      <c r="F586" s="4"/>
      <c r="G586" s="4"/>
    </row>
    <row r="587" spans="1:7" ht="15.75" customHeight="1" x14ac:dyDescent="0.35">
      <c r="A587" s="4"/>
      <c r="B587" s="4"/>
      <c r="C587" s="4"/>
      <c r="D587" s="4"/>
      <c r="E587" s="4"/>
      <c r="F587" s="4"/>
      <c r="G587" s="4"/>
    </row>
    <row r="588" spans="1:7" ht="15.75" customHeight="1" x14ac:dyDescent="0.35">
      <c r="A588" s="4"/>
      <c r="B588" s="4"/>
      <c r="C588" s="4"/>
      <c r="D588" s="4"/>
      <c r="E588" s="4"/>
      <c r="F588" s="4"/>
      <c r="G588" s="4"/>
    </row>
    <row r="589" spans="1:7" ht="15.75" customHeight="1" x14ac:dyDescent="0.35">
      <c r="A589" s="4"/>
      <c r="B589" s="4"/>
      <c r="C589" s="4"/>
      <c r="D589" s="4"/>
      <c r="E589" s="4"/>
      <c r="F589" s="4"/>
      <c r="G589" s="4"/>
    </row>
    <row r="590" spans="1:7" ht="15.75" customHeight="1" x14ac:dyDescent="0.35">
      <c r="A590" s="4"/>
      <c r="B590" s="4"/>
      <c r="C590" s="4"/>
      <c r="D590" s="4"/>
      <c r="E590" s="4"/>
      <c r="F590" s="4"/>
      <c r="G590" s="4"/>
    </row>
    <row r="591" spans="1:7" ht="15.75" customHeight="1" x14ac:dyDescent="0.35">
      <c r="A591" s="4"/>
      <c r="B591" s="4"/>
      <c r="C591" s="4"/>
      <c r="D591" s="4"/>
      <c r="E591" s="4"/>
      <c r="F591" s="4"/>
      <c r="G591" s="4"/>
    </row>
    <row r="592" spans="1:7" ht="15.75" customHeight="1" x14ac:dyDescent="0.35">
      <c r="A592" s="4"/>
      <c r="B592" s="4"/>
      <c r="C592" s="4"/>
      <c r="D592" s="4"/>
      <c r="E592" s="4"/>
      <c r="F592" s="4"/>
      <c r="G592" s="4"/>
    </row>
    <row r="593" spans="1:7" ht="15.75" customHeight="1" x14ac:dyDescent="0.35">
      <c r="A593" s="4"/>
      <c r="B593" s="4"/>
      <c r="C593" s="4"/>
      <c r="D593" s="4"/>
      <c r="E593" s="4"/>
      <c r="F593" s="4"/>
      <c r="G593" s="4"/>
    </row>
    <row r="594" spans="1:7" ht="15.75" customHeight="1" x14ac:dyDescent="0.35">
      <c r="A594" s="4"/>
      <c r="B594" s="4"/>
      <c r="C594" s="4"/>
      <c r="D594" s="4"/>
      <c r="E594" s="4"/>
      <c r="F594" s="4"/>
      <c r="G594" s="4"/>
    </row>
    <row r="595" spans="1:7" ht="15.75" customHeight="1" x14ac:dyDescent="0.35">
      <c r="A595" s="4"/>
      <c r="B595" s="4"/>
      <c r="C595" s="4"/>
      <c r="D595" s="4"/>
      <c r="E595" s="4"/>
      <c r="F595" s="4"/>
      <c r="G595" s="4"/>
    </row>
    <row r="596" spans="1:7" ht="15.75" customHeight="1" x14ac:dyDescent="0.35">
      <c r="A596" s="4"/>
      <c r="B596" s="4"/>
      <c r="C596" s="4"/>
      <c r="D596" s="4"/>
      <c r="E596" s="4"/>
      <c r="F596" s="4"/>
      <c r="G596" s="4"/>
    </row>
    <row r="597" spans="1:7" ht="15.75" customHeight="1" x14ac:dyDescent="0.35">
      <c r="A597" s="4"/>
      <c r="B597" s="4"/>
      <c r="C597" s="4"/>
      <c r="D597" s="4"/>
      <c r="E597" s="4"/>
      <c r="F597" s="4"/>
      <c r="G597" s="4"/>
    </row>
    <row r="598" spans="1:7" ht="15.75" customHeight="1" x14ac:dyDescent="0.35">
      <c r="A598" s="4"/>
      <c r="B598" s="4"/>
      <c r="C598" s="4"/>
      <c r="D598" s="4"/>
      <c r="E598" s="4"/>
      <c r="F598" s="4"/>
      <c r="G598" s="4"/>
    </row>
    <row r="599" spans="1:7" ht="15.75" customHeight="1" x14ac:dyDescent="0.35">
      <c r="A599" s="4"/>
      <c r="B599" s="4"/>
      <c r="C599" s="4"/>
      <c r="D599" s="4"/>
      <c r="E599" s="4"/>
      <c r="F599" s="4"/>
      <c r="G599" s="4"/>
    </row>
    <row r="600" spans="1:7" ht="15.75" customHeight="1" x14ac:dyDescent="0.35">
      <c r="A600" s="4"/>
      <c r="B600" s="4"/>
      <c r="C600" s="4"/>
      <c r="D600" s="4"/>
      <c r="E600" s="4"/>
      <c r="F600" s="4"/>
      <c r="G600" s="4"/>
    </row>
    <row r="601" spans="1:7" ht="15.75" customHeight="1" x14ac:dyDescent="0.35">
      <c r="A601" s="4"/>
      <c r="B601" s="4"/>
      <c r="C601" s="4"/>
      <c r="D601" s="4"/>
      <c r="E601" s="4"/>
      <c r="F601" s="4"/>
      <c r="G601" s="4"/>
    </row>
    <row r="602" spans="1:7" ht="15.75" customHeight="1" x14ac:dyDescent="0.35">
      <c r="A602" s="4"/>
      <c r="B602" s="4"/>
      <c r="C602" s="4"/>
      <c r="D602" s="4"/>
      <c r="E602" s="4"/>
      <c r="F602" s="4"/>
      <c r="G602" s="4"/>
    </row>
    <row r="603" spans="1:7" ht="15.75" customHeight="1" x14ac:dyDescent="0.35">
      <c r="A603" s="4"/>
      <c r="B603" s="4"/>
      <c r="C603" s="4"/>
      <c r="D603" s="4"/>
      <c r="E603" s="4"/>
      <c r="F603" s="4"/>
      <c r="G603" s="4"/>
    </row>
    <row r="604" spans="1:7" ht="15.75" customHeight="1" x14ac:dyDescent="0.35">
      <c r="A604" s="4"/>
      <c r="B604" s="4"/>
      <c r="C604" s="4"/>
      <c r="D604" s="4"/>
      <c r="E604" s="4"/>
      <c r="F604" s="4"/>
      <c r="G604" s="4"/>
    </row>
    <row r="605" spans="1:7" ht="15.75" customHeight="1" x14ac:dyDescent="0.35">
      <c r="A605" s="4"/>
      <c r="B605" s="4"/>
      <c r="C605" s="4"/>
      <c r="D605" s="4"/>
      <c r="E605" s="4"/>
      <c r="F605" s="4"/>
      <c r="G605" s="4"/>
    </row>
    <row r="606" spans="1:7" ht="15.75" customHeight="1" x14ac:dyDescent="0.35">
      <c r="A606" s="4"/>
      <c r="B606" s="4"/>
      <c r="C606" s="4"/>
      <c r="D606" s="4"/>
      <c r="E606" s="4"/>
      <c r="F606" s="4"/>
      <c r="G606" s="4"/>
    </row>
    <row r="607" spans="1:7" ht="15.75" customHeight="1" x14ac:dyDescent="0.35">
      <c r="A607" s="4"/>
      <c r="B607" s="4"/>
      <c r="C607" s="4"/>
      <c r="D607" s="4"/>
      <c r="E607" s="4"/>
      <c r="F607" s="4"/>
      <c r="G607" s="4"/>
    </row>
    <row r="608" spans="1:7" ht="15.75" customHeight="1" x14ac:dyDescent="0.35">
      <c r="A608" s="4"/>
      <c r="B608" s="4"/>
      <c r="C608" s="4"/>
      <c r="D608" s="4"/>
      <c r="E608" s="4"/>
      <c r="F608" s="4"/>
      <c r="G608" s="4"/>
    </row>
    <row r="609" spans="1:7" ht="15.75" customHeight="1" x14ac:dyDescent="0.35">
      <c r="A609" s="4"/>
      <c r="B609" s="4"/>
      <c r="C609" s="4"/>
      <c r="D609" s="4"/>
      <c r="E609" s="4"/>
      <c r="F609" s="4"/>
      <c r="G609" s="4"/>
    </row>
    <row r="610" spans="1:7" ht="15.75" customHeight="1" x14ac:dyDescent="0.35">
      <c r="A610" s="4"/>
      <c r="B610" s="4"/>
      <c r="C610" s="4"/>
      <c r="D610" s="4"/>
      <c r="E610" s="4"/>
      <c r="F610" s="4"/>
      <c r="G610" s="4"/>
    </row>
    <row r="611" spans="1:7" ht="15.75" customHeight="1" x14ac:dyDescent="0.35">
      <c r="A611" s="4"/>
      <c r="B611" s="4"/>
      <c r="C611" s="4"/>
      <c r="D611" s="4"/>
      <c r="E611" s="4"/>
      <c r="F611" s="4"/>
      <c r="G611" s="4"/>
    </row>
    <row r="612" spans="1:7" ht="15.75" customHeight="1" x14ac:dyDescent="0.35">
      <c r="A612" s="4"/>
      <c r="B612" s="4"/>
      <c r="C612" s="4"/>
      <c r="D612" s="4"/>
      <c r="E612" s="4"/>
      <c r="F612" s="4"/>
      <c r="G612" s="4"/>
    </row>
    <row r="613" spans="1:7" ht="15.75" customHeight="1" x14ac:dyDescent="0.35">
      <c r="A613" s="4"/>
      <c r="B613" s="4"/>
      <c r="C613" s="4"/>
      <c r="D613" s="4"/>
      <c r="E613" s="4"/>
      <c r="F613" s="4"/>
      <c r="G613" s="4"/>
    </row>
    <row r="614" spans="1:7" ht="15.75" customHeight="1" x14ac:dyDescent="0.35">
      <c r="A614" s="4"/>
      <c r="B614" s="4"/>
      <c r="C614" s="4"/>
      <c r="D614" s="4"/>
      <c r="E614" s="4"/>
      <c r="F614" s="4"/>
      <c r="G614" s="4"/>
    </row>
    <row r="615" spans="1:7" ht="15.75" customHeight="1" x14ac:dyDescent="0.35">
      <c r="A615" s="4"/>
      <c r="B615" s="4"/>
      <c r="C615" s="4"/>
      <c r="D615" s="4"/>
      <c r="E615" s="4"/>
      <c r="F615" s="4"/>
      <c r="G615" s="4"/>
    </row>
    <row r="616" spans="1:7" ht="15.75" customHeight="1" x14ac:dyDescent="0.35">
      <c r="A616" s="4"/>
      <c r="B616" s="4"/>
      <c r="C616" s="4"/>
      <c r="D616" s="4"/>
      <c r="E616" s="4"/>
      <c r="F616" s="4"/>
      <c r="G616" s="4"/>
    </row>
    <row r="617" spans="1:7" ht="15.75" customHeight="1" x14ac:dyDescent="0.35">
      <c r="A617" s="4"/>
      <c r="B617" s="4"/>
      <c r="C617" s="4"/>
      <c r="D617" s="4"/>
      <c r="E617" s="4"/>
      <c r="F617" s="4"/>
      <c r="G617" s="4"/>
    </row>
    <row r="618" spans="1:7" ht="15.75" customHeight="1" x14ac:dyDescent="0.35">
      <c r="A618" s="4"/>
      <c r="B618" s="4"/>
      <c r="C618" s="4"/>
      <c r="D618" s="4"/>
      <c r="E618" s="4"/>
      <c r="F618" s="4"/>
      <c r="G618" s="4"/>
    </row>
    <row r="619" spans="1:7" ht="15.75" customHeight="1" x14ac:dyDescent="0.35">
      <c r="A619" s="4"/>
      <c r="B619" s="4"/>
      <c r="C619" s="4"/>
      <c r="D619" s="4"/>
      <c r="E619" s="4"/>
      <c r="F619" s="4"/>
      <c r="G619" s="4"/>
    </row>
    <row r="620" spans="1:7" ht="15.75" customHeight="1" x14ac:dyDescent="0.35">
      <c r="A620" s="4"/>
      <c r="B620" s="4"/>
      <c r="C620" s="4"/>
      <c r="D620" s="4"/>
      <c r="E620" s="4"/>
      <c r="F620" s="4"/>
      <c r="G620" s="4"/>
    </row>
    <row r="621" spans="1:7" ht="15.75" customHeight="1" x14ac:dyDescent="0.35">
      <c r="A621" s="4"/>
      <c r="B621" s="4"/>
      <c r="C621" s="4"/>
      <c r="D621" s="4"/>
      <c r="E621" s="4"/>
      <c r="F621" s="4"/>
      <c r="G621" s="4"/>
    </row>
    <row r="622" spans="1:7" ht="15.75" customHeight="1" x14ac:dyDescent="0.35">
      <c r="A622" s="4"/>
      <c r="B622" s="4"/>
      <c r="C622" s="4"/>
      <c r="D622" s="4"/>
      <c r="E622" s="4"/>
      <c r="F622" s="4"/>
      <c r="G622" s="4"/>
    </row>
    <row r="623" spans="1:7" ht="15.75" customHeight="1" x14ac:dyDescent="0.35">
      <c r="A623" s="4"/>
      <c r="B623" s="4"/>
      <c r="C623" s="4"/>
      <c r="D623" s="4"/>
      <c r="E623" s="4"/>
      <c r="F623" s="4"/>
      <c r="G623" s="4"/>
    </row>
    <row r="624" spans="1:7" ht="15.75" customHeight="1" x14ac:dyDescent="0.35">
      <c r="A624" s="4"/>
      <c r="B624" s="4"/>
      <c r="C624" s="4"/>
      <c r="D624" s="4"/>
      <c r="E624" s="4"/>
      <c r="F624" s="4"/>
      <c r="G624" s="4"/>
    </row>
    <row r="625" spans="1:7" ht="15.75" customHeight="1" x14ac:dyDescent="0.35">
      <c r="A625" s="4"/>
      <c r="B625" s="4"/>
      <c r="C625" s="4"/>
      <c r="D625" s="4"/>
      <c r="E625" s="4"/>
      <c r="F625" s="4"/>
      <c r="G625" s="4"/>
    </row>
    <row r="626" spans="1:7" ht="15.75" customHeight="1" x14ac:dyDescent="0.35">
      <c r="A626" s="4"/>
      <c r="B626" s="4"/>
      <c r="C626" s="4"/>
      <c r="D626" s="4"/>
      <c r="E626" s="4"/>
      <c r="F626" s="4"/>
      <c r="G626" s="4"/>
    </row>
    <row r="627" spans="1:7" ht="15.75" customHeight="1" x14ac:dyDescent="0.35">
      <c r="A627" s="4"/>
      <c r="B627" s="4"/>
      <c r="C627" s="4"/>
      <c r="D627" s="4"/>
      <c r="E627" s="4"/>
      <c r="F627" s="4"/>
      <c r="G627" s="4"/>
    </row>
    <row r="628" spans="1:7" ht="15.75" customHeight="1" x14ac:dyDescent="0.35">
      <c r="A628" s="4"/>
      <c r="B628" s="4"/>
      <c r="C628" s="4"/>
      <c r="D628" s="4"/>
      <c r="E628" s="4"/>
      <c r="F628" s="4"/>
      <c r="G628" s="4"/>
    </row>
    <row r="629" spans="1:7" ht="15.75" customHeight="1" x14ac:dyDescent="0.35">
      <c r="A629" s="4"/>
      <c r="B629" s="4"/>
      <c r="C629" s="4"/>
      <c r="D629" s="4"/>
      <c r="E629" s="4"/>
      <c r="F629" s="4"/>
      <c r="G629" s="4"/>
    </row>
    <row r="630" spans="1:7" ht="15.75" customHeight="1" x14ac:dyDescent="0.35">
      <c r="A630" s="4"/>
      <c r="B630" s="4"/>
      <c r="C630" s="4"/>
      <c r="D630" s="4"/>
      <c r="E630" s="4"/>
      <c r="F630" s="4"/>
      <c r="G630" s="4"/>
    </row>
    <row r="631" spans="1:7" ht="15.75" customHeight="1" x14ac:dyDescent="0.35">
      <c r="A631" s="4"/>
      <c r="B631" s="4"/>
      <c r="C631" s="4"/>
      <c r="D631" s="4"/>
      <c r="E631" s="4"/>
      <c r="F631" s="4"/>
      <c r="G631" s="4"/>
    </row>
    <row r="632" spans="1:7" ht="15.75" customHeight="1" x14ac:dyDescent="0.35">
      <c r="A632" s="4"/>
      <c r="B632" s="4"/>
      <c r="C632" s="4"/>
      <c r="D632" s="4"/>
      <c r="E632" s="4"/>
      <c r="F632" s="4"/>
      <c r="G632" s="4"/>
    </row>
    <row r="633" spans="1:7" ht="15.75" customHeight="1" x14ac:dyDescent="0.35">
      <c r="A633" s="4"/>
      <c r="B633" s="4"/>
      <c r="C633" s="4"/>
      <c r="D633" s="4"/>
      <c r="E633" s="4"/>
      <c r="F633" s="4"/>
      <c r="G633" s="4"/>
    </row>
    <row r="634" spans="1:7" ht="15.75" customHeight="1" x14ac:dyDescent="0.35">
      <c r="A634" s="4"/>
      <c r="B634" s="4"/>
      <c r="C634" s="4"/>
      <c r="D634" s="4"/>
      <c r="E634" s="4"/>
      <c r="F634" s="4"/>
      <c r="G634" s="4"/>
    </row>
    <row r="635" spans="1:7" ht="15.75" customHeight="1" x14ac:dyDescent="0.35">
      <c r="A635" s="4"/>
      <c r="B635" s="4"/>
      <c r="C635" s="4"/>
      <c r="D635" s="4"/>
      <c r="E635" s="4"/>
      <c r="F635" s="4"/>
      <c r="G635" s="4"/>
    </row>
    <row r="636" spans="1:7" ht="15.75" customHeight="1" x14ac:dyDescent="0.35">
      <c r="A636" s="4"/>
      <c r="B636" s="4"/>
      <c r="C636" s="4"/>
      <c r="D636" s="4"/>
      <c r="E636" s="4"/>
      <c r="F636" s="4"/>
      <c r="G636" s="4"/>
    </row>
    <row r="637" spans="1:7" ht="15.75" customHeight="1" x14ac:dyDescent="0.35">
      <c r="A637" s="4"/>
      <c r="B637" s="4"/>
      <c r="C637" s="4"/>
      <c r="D637" s="4"/>
      <c r="E637" s="4"/>
      <c r="F637" s="4"/>
      <c r="G637" s="4"/>
    </row>
    <row r="638" spans="1:7" ht="15.75" customHeight="1" x14ac:dyDescent="0.35">
      <c r="A638" s="4"/>
      <c r="B638" s="4"/>
      <c r="C638" s="4"/>
      <c r="D638" s="4"/>
      <c r="E638" s="4"/>
      <c r="F638" s="4"/>
      <c r="G638" s="4"/>
    </row>
    <row r="639" spans="1:7" ht="15.75" customHeight="1" x14ac:dyDescent="0.35">
      <c r="A639" s="4"/>
      <c r="B639" s="4"/>
      <c r="C639" s="4"/>
      <c r="D639" s="4"/>
      <c r="E639" s="4"/>
      <c r="F639" s="4"/>
      <c r="G639" s="4"/>
    </row>
    <row r="640" spans="1:7" ht="15.75" customHeight="1" x14ac:dyDescent="0.35">
      <c r="A640" s="4"/>
      <c r="B640" s="4"/>
      <c r="C640" s="4"/>
      <c r="D640" s="4"/>
      <c r="E640" s="4"/>
      <c r="F640" s="4"/>
      <c r="G640" s="4"/>
    </row>
    <row r="641" spans="1:7" ht="15.75" customHeight="1" x14ac:dyDescent="0.35">
      <c r="A641" s="4"/>
      <c r="B641" s="4"/>
      <c r="C641" s="4"/>
      <c r="D641" s="4"/>
      <c r="E641" s="4"/>
      <c r="F641" s="4"/>
      <c r="G641" s="4"/>
    </row>
    <row r="642" spans="1:7" ht="15.75" customHeight="1" x14ac:dyDescent="0.35">
      <c r="A642" s="4"/>
      <c r="B642" s="4"/>
      <c r="C642" s="4"/>
      <c r="D642" s="4"/>
      <c r="E642" s="4"/>
      <c r="F642" s="4"/>
      <c r="G642" s="4"/>
    </row>
    <row r="643" spans="1:7" ht="15.75" customHeight="1" x14ac:dyDescent="0.35">
      <c r="A643" s="4"/>
      <c r="B643" s="4"/>
      <c r="C643" s="4"/>
      <c r="D643" s="4"/>
      <c r="E643" s="4"/>
      <c r="F643" s="4"/>
      <c r="G643" s="4"/>
    </row>
    <row r="644" spans="1:7" ht="15.75" customHeight="1" x14ac:dyDescent="0.35">
      <c r="A644" s="4"/>
      <c r="B644" s="4"/>
      <c r="C644" s="4"/>
      <c r="D644" s="4"/>
      <c r="E644" s="4"/>
      <c r="F644" s="4"/>
      <c r="G644" s="4"/>
    </row>
    <row r="645" spans="1:7" ht="15.75" customHeight="1" x14ac:dyDescent="0.35">
      <c r="A645" s="4"/>
      <c r="B645" s="4"/>
      <c r="C645" s="4"/>
      <c r="D645" s="4"/>
      <c r="E645" s="4"/>
      <c r="F645" s="4"/>
      <c r="G645" s="4"/>
    </row>
    <row r="646" spans="1:7" ht="15.75" customHeight="1" x14ac:dyDescent="0.35">
      <c r="A646" s="4"/>
      <c r="B646" s="4"/>
      <c r="C646" s="4"/>
      <c r="D646" s="4"/>
      <c r="E646" s="4"/>
      <c r="F646" s="4"/>
      <c r="G646" s="4"/>
    </row>
    <row r="647" spans="1:7" ht="15.75" customHeight="1" x14ac:dyDescent="0.35">
      <c r="A647" s="4"/>
      <c r="B647" s="4"/>
      <c r="C647" s="4"/>
      <c r="D647" s="4"/>
      <c r="E647" s="4"/>
      <c r="F647" s="4"/>
      <c r="G647" s="4"/>
    </row>
    <row r="648" spans="1:7" ht="15.75" customHeight="1" x14ac:dyDescent="0.35">
      <c r="A648" s="4"/>
      <c r="B648" s="4"/>
      <c r="C648" s="4"/>
      <c r="D648" s="4"/>
      <c r="E648" s="4"/>
      <c r="F648" s="4"/>
      <c r="G648" s="4"/>
    </row>
    <row r="649" spans="1:7" ht="15.75" customHeight="1" x14ac:dyDescent="0.35">
      <c r="A649" s="4"/>
      <c r="B649" s="4"/>
      <c r="C649" s="4"/>
      <c r="D649" s="4"/>
      <c r="E649" s="4"/>
      <c r="F649" s="4"/>
      <c r="G649" s="4"/>
    </row>
    <row r="650" spans="1:7" ht="15.75" customHeight="1" x14ac:dyDescent="0.35">
      <c r="A650" s="4"/>
      <c r="B650" s="4"/>
      <c r="C650" s="4"/>
      <c r="D650" s="4"/>
      <c r="E650" s="4"/>
      <c r="F650" s="4"/>
      <c r="G650" s="4"/>
    </row>
    <row r="651" spans="1:7" ht="15.75" customHeight="1" x14ac:dyDescent="0.35">
      <c r="A651" s="4"/>
      <c r="B651" s="4"/>
      <c r="C651" s="4"/>
      <c r="D651" s="4"/>
      <c r="E651" s="4"/>
      <c r="F651" s="4"/>
      <c r="G651" s="4"/>
    </row>
    <row r="652" spans="1:7" ht="15.75" customHeight="1" x14ac:dyDescent="0.35">
      <c r="A652" s="4"/>
      <c r="B652" s="4"/>
      <c r="C652" s="4"/>
      <c r="D652" s="4"/>
      <c r="E652" s="4"/>
      <c r="F652" s="4"/>
      <c r="G652" s="4"/>
    </row>
    <row r="653" spans="1:7" ht="15.75" customHeight="1" x14ac:dyDescent="0.35">
      <c r="A653" s="4"/>
      <c r="B653" s="4"/>
      <c r="C653" s="4"/>
      <c r="D653" s="4"/>
      <c r="E653" s="4"/>
      <c r="F653" s="4"/>
      <c r="G653" s="4"/>
    </row>
    <row r="654" spans="1:7" ht="15.75" customHeight="1" x14ac:dyDescent="0.35">
      <c r="A654" s="4"/>
      <c r="B654" s="4"/>
      <c r="C654" s="4"/>
      <c r="D654" s="4"/>
      <c r="E654" s="4"/>
      <c r="F654" s="4"/>
      <c r="G654" s="4"/>
    </row>
    <row r="655" spans="1:7" ht="15.75" customHeight="1" x14ac:dyDescent="0.35">
      <c r="A655" s="4"/>
      <c r="B655" s="4"/>
      <c r="C655" s="4"/>
      <c r="D655" s="4"/>
      <c r="E655" s="4"/>
      <c r="F655" s="4"/>
      <c r="G655" s="4"/>
    </row>
    <row r="656" spans="1:7" ht="15.75" customHeight="1" x14ac:dyDescent="0.35">
      <c r="A656" s="4"/>
      <c r="B656" s="4"/>
      <c r="C656" s="4"/>
      <c r="D656" s="4"/>
      <c r="E656" s="4"/>
      <c r="F656" s="4"/>
      <c r="G656" s="4"/>
    </row>
    <row r="657" spans="1:7" ht="15.75" customHeight="1" x14ac:dyDescent="0.35">
      <c r="A657" s="4"/>
      <c r="B657" s="4"/>
      <c r="C657" s="4"/>
      <c r="D657" s="4"/>
      <c r="E657" s="4"/>
      <c r="F657" s="4"/>
      <c r="G657" s="4"/>
    </row>
    <row r="658" spans="1:7" ht="15.75" customHeight="1" x14ac:dyDescent="0.35">
      <c r="A658" s="4"/>
      <c r="B658" s="4"/>
      <c r="C658" s="4"/>
      <c r="D658" s="4"/>
      <c r="E658" s="4"/>
      <c r="F658" s="4"/>
      <c r="G658" s="4"/>
    </row>
    <row r="659" spans="1:7" ht="15.75" customHeight="1" x14ac:dyDescent="0.35">
      <c r="A659" s="4"/>
      <c r="B659" s="4"/>
      <c r="C659" s="4"/>
      <c r="D659" s="4"/>
      <c r="E659" s="4"/>
      <c r="F659" s="4"/>
      <c r="G659" s="4"/>
    </row>
    <row r="660" spans="1:7" ht="15.75" customHeight="1" x14ac:dyDescent="0.35">
      <c r="A660" s="4"/>
      <c r="B660" s="4"/>
      <c r="C660" s="4"/>
      <c r="D660" s="4"/>
      <c r="E660" s="4"/>
      <c r="F660" s="4"/>
      <c r="G660" s="4"/>
    </row>
    <row r="661" spans="1:7" ht="15.75" customHeight="1" x14ac:dyDescent="0.35">
      <c r="A661" s="4"/>
      <c r="B661" s="4"/>
      <c r="C661" s="4"/>
      <c r="D661" s="4"/>
      <c r="E661" s="4"/>
      <c r="F661" s="4"/>
      <c r="G661" s="4"/>
    </row>
    <row r="662" spans="1:7" ht="15.75" customHeight="1" x14ac:dyDescent="0.35">
      <c r="A662" s="4"/>
      <c r="B662" s="4"/>
      <c r="C662" s="4"/>
      <c r="D662" s="4"/>
      <c r="E662" s="4"/>
      <c r="F662" s="4"/>
      <c r="G662" s="4"/>
    </row>
    <row r="663" spans="1:7" ht="15.75" customHeight="1" x14ac:dyDescent="0.35">
      <c r="A663" s="4"/>
      <c r="B663" s="4"/>
      <c r="C663" s="4"/>
      <c r="D663" s="4"/>
      <c r="E663" s="4"/>
      <c r="F663" s="4"/>
      <c r="G663" s="4"/>
    </row>
    <row r="664" spans="1:7" ht="15.75" customHeight="1" x14ac:dyDescent="0.35">
      <c r="A664" s="4"/>
      <c r="B664" s="4"/>
      <c r="C664" s="4"/>
      <c r="D664" s="4"/>
      <c r="E664" s="4"/>
      <c r="F664" s="4"/>
      <c r="G664" s="4"/>
    </row>
    <row r="665" spans="1:7" ht="15.75" customHeight="1" x14ac:dyDescent="0.35">
      <c r="A665" s="4"/>
      <c r="B665" s="4"/>
      <c r="C665" s="4"/>
      <c r="D665" s="4"/>
      <c r="E665" s="4"/>
      <c r="F665" s="4"/>
      <c r="G665" s="4"/>
    </row>
    <row r="666" spans="1:7" ht="15.75" customHeight="1" x14ac:dyDescent="0.35">
      <c r="A666" s="4"/>
      <c r="B666" s="4"/>
      <c r="C666" s="4"/>
      <c r="D666" s="4"/>
      <c r="E666" s="4"/>
      <c r="F666" s="4"/>
      <c r="G666" s="4"/>
    </row>
    <row r="667" spans="1:7" ht="15.75" customHeight="1" x14ac:dyDescent="0.35">
      <c r="A667" s="4"/>
      <c r="B667" s="4"/>
      <c r="C667" s="4"/>
      <c r="D667" s="4"/>
      <c r="E667" s="4"/>
      <c r="F667" s="4"/>
      <c r="G667" s="4"/>
    </row>
    <row r="668" spans="1:7" ht="15.75" customHeight="1" x14ac:dyDescent="0.35">
      <c r="A668" s="4"/>
      <c r="B668" s="4"/>
      <c r="C668" s="4"/>
      <c r="D668" s="4"/>
      <c r="E668" s="4"/>
      <c r="F668" s="4"/>
      <c r="G668" s="4"/>
    </row>
    <row r="669" spans="1:7" ht="15.75" customHeight="1" x14ac:dyDescent="0.35">
      <c r="A669" s="4"/>
      <c r="B669" s="4"/>
      <c r="C669" s="4"/>
      <c r="D669" s="4"/>
      <c r="E669" s="4"/>
      <c r="F669" s="4"/>
      <c r="G669" s="4"/>
    </row>
    <row r="670" spans="1:7" ht="15.75" customHeight="1" x14ac:dyDescent="0.35">
      <c r="A670" s="4"/>
      <c r="B670" s="4"/>
      <c r="C670" s="4"/>
      <c r="D670" s="4"/>
      <c r="E670" s="4"/>
      <c r="F670" s="4"/>
      <c r="G670" s="4"/>
    </row>
    <row r="671" spans="1:7" ht="15.75" customHeight="1" x14ac:dyDescent="0.35">
      <c r="A671" s="4"/>
      <c r="B671" s="4"/>
      <c r="C671" s="4"/>
      <c r="D671" s="4"/>
      <c r="E671" s="4"/>
      <c r="F671" s="4"/>
      <c r="G671" s="4"/>
    </row>
    <row r="672" spans="1:7" ht="15.75" customHeight="1" x14ac:dyDescent="0.35">
      <c r="A672" s="4"/>
      <c r="B672" s="4"/>
      <c r="C672" s="4"/>
      <c r="D672" s="4"/>
      <c r="E672" s="4"/>
      <c r="F672" s="4"/>
      <c r="G672" s="4"/>
    </row>
    <row r="673" spans="1:7" ht="15.75" customHeight="1" x14ac:dyDescent="0.35">
      <c r="A673" s="4"/>
      <c r="B673" s="4"/>
      <c r="C673" s="4"/>
      <c r="D673" s="4"/>
      <c r="E673" s="4"/>
      <c r="F673" s="4"/>
      <c r="G673" s="4"/>
    </row>
    <row r="674" spans="1:7" ht="15.75" customHeight="1" x14ac:dyDescent="0.35">
      <c r="A674" s="4"/>
      <c r="B674" s="4"/>
      <c r="C674" s="4"/>
      <c r="D674" s="4"/>
      <c r="E674" s="4"/>
      <c r="F674" s="4"/>
      <c r="G674" s="4"/>
    </row>
    <row r="675" spans="1:7" ht="15.75" customHeight="1" x14ac:dyDescent="0.35">
      <c r="A675" s="4"/>
      <c r="B675" s="4"/>
      <c r="C675" s="4"/>
      <c r="D675" s="4"/>
      <c r="E675" s="4"/>
      <c r="F675" s="4"/>
      <c r="G675" s="4"/>
    </row>
    <row r="676" spans="1:7" ht="15.75" customHeight="1" x14ac:dyDescent="0.35">
      <c r="A676" s="4"/>
      <c r="B676" s="4"/>
      <c r="C676" s="4"/>
      <c r="D676" s="4"/>
      <c r="E676" s="4"/>
      <c r="F676" s="4"/>
      <c r="G676" s="4"/>
    </row>
    <row r="677" spans="1:7" ht="15.75" customHeight="1" x14ac:dyDescent="0.35">
      <c r="A677" s="4"/>
      <c r="B677" s="4"/>
      <c r="C677" s="4"/>
      <c r="D677" s="4"/>
      <c r="E677" s="4"/>
      <c r="F677" s="4"/>
      <c r="G677" s="4"/>
    </row>
    <row r="678" spans="1:7" ht="15.75" customHeight="1" x14ac:dyDescent="0.35">
      <c r="A678" s="4"/>
      <c r="B678" s="4"/>
      <c r="C678" s="4"/>
      <c r="D678" s="4"/>
      <c r="E678" s="4"/>
      <c r="F678" s="4"/>
      <c r="G678" s="4"/>
    </row>
    <row r="679" spans="1:7" ht="15.75" customHeight="1" x14ac:dyDescent="0.35">
      <c r="A679" s="4"/>
      <c r="B679" s="4"/>
      <c r="C679" s="4"/>
      <c r="D679" s="4"/>
      <c r="E679" s="4"/>
      <c r="F679" s="4"/>
      <c r="G679" s="4"/>
    </row>
    <row r="680" spans="1:7" ht="15.75" customHeight="1" x14ac:dyDescent="0.35">
      <c r="A680" s="4"/>
      <c r="B680" s="4"/>
      <c r="C680" s="4"/>
      <c r="D680" s="4"/>
      <c r="E680" s="4"/>
      <c r="F680" s="4"/>
      <c r="G680" s="4"/>
    </row>
    <row r="681" spans="1:7" ht="15.75" customHeight="1" x14ac:dyDescent="0.35">
      <c r="A681" s="4"/>
      <c r="B681" s="4"/>
      <c r="C681" s="4"/>
      <c r="D681" s="4"/>
      <c r="E681" s="4"/>
      <c r="F681" s="4"/>
      <c r="G681" s="4"/>
    </row>
    <row r="682" spans="1:7" ht="15.75" customHeight="1" x14ac:dyDescent="0.35">
      <c r="A682" s="4"/>
      <c r="B682" s="4"/>
      <c r="C682" s="4"/>
      <c r="D682" s="4"/>
      <c r="E682" s="4"/>
      <c r="F682" s="4"/>
      <c r="G682" s="4"/>
    </row>
    <row r="683" spans="1:7" ht="15.75" customHeight="1" x14ac:dyDescent="0.35">
      <c r="A683" s="4"/>
      <c r="B683" s="4"/>
      <c r="C683" s="4"/>
      <c r="D683" s="4"/>
      <c r="E683" s="4"/>
      <c r="F683" s="4"/>
      <c r="G683" s="4"/>
    </row>
    <row r="684" spans="1:7" ht="15.75" customHeight="1" x14ac:dyDescent="0.35">
      <c r="A684" s="4"/>
      <c r="B684" s="4"/>
      <c r="C684" s="4"/>
      <c r="D684" s="4"/>
      <c r="E684" s="4"/>
      <c r="F684" s="4"/>
      <c r="G684" s="4"/>
    </row>
    <row r="685" spans="1:7" ht="15.75" customHeight="1" x14ac:dyDescent="0.35">
      <c r="A685" s="4"/>
      <c r="B685" s="4"/>
      <c r="C685" s="4"/>
      <c r="D685" s="4"/>
      <c r="E685" s="4"/>
      <c r="F685" s="4"/>
      <c r="G685" s="4"/>
    </row>
    <row r="686" spans="1:7" ht="15.75" customHeight="1" x14ac:dyDescent="0.35">
      <c r="A686" s="4"/>
      <c r="B686" s="4"/>
      <c r="C686" s="4"/>
      <c r="D686" s="4"/>
      <c r="E686" s="4"/>
      <c r="F686" s="4"/>
      <c r="G686" s="4"/>
    </row>
    <row r="687" spans="1:7" ht="15.75" customHeight="1" x14ac:dyDescent="0.35">
      <c r="A687" s="4"/>
      <c r="B687" s="4"/>
      <c r="C687" s="4"/>
      <c r="D687" s="4"/>
      <c r="E687" s="4"/>
      <c r="F687" s="4"/>
      <c r="G687" s="4"/>
    </row>
    <row r="688" spans="1:7" ht="15.75" customHeight="1" x14ac:dyDescent="0.35">
      <c r="A688" s="4"/>
      <c r="B688" s="4"/>
      <c r="C688" s="4"/>
      <c r="D688" s="4"/>
      <c r="E688" s="4"/>
      <c r="F688" s="4"/>
      <c r="G688" s="4"/>
    </row>
    <row r="689" spans="1:7" ht="15.75" customHeight="1" x14ac:dyDescent="0.35">
      <c r="A689" s="4"/>
      <c r="B689" s="4"/>
      <c r="C689" s="4"/>
      <c r="D689" s="4"/>
      <c r="E689" s="4"/>
      <c r="F689" s="4"/>
      <c r="G689" s="4"/>
    </row>
    <row r="690" spans="1:7" ht="15.75" customHeight="1" x14ac:dyDescent="0.35">
      <c r="A690" s="4"/>
      <c r="B690" s="4"/>
      <c r="C690" s="4"/>
      <c r="D690" s="4"/>
      <c r="E690" s="4"/>
      <c r="F690" s="4"/>
      <c r="G690" s="4"/>
    </row>
    <row r="691" spans="1:7" ht="15.75" customHeight="1" x14ac:dyDescent="0.35">
      <c r="A691" s="4"/>
      <c r="B691" s="4"/>
      <c r="C691" s="4"/>
      <c r="D691" s="4"/>
      <c r="E691" s="4"/>
      <c r="F691" s="4"/>
      <c r="G691" s="4"/>
    </row>
    <row r="692" spans="1:7" ht="15.75" customHeight="1" x14ac:dyDescent="0.35">
      <c r="A692" s="4"/>
      <c r="B692" s="4"/>
      <c r="C692" s="4"/>
      <c r="D692" s="4"/>
      <c r="E692" s="4"/>
      <c r="F692" s="4"/>
      <c r="G692" s="4"/>
    </row>
    <row r="693" spans="1:7" ht="15.75" customHeight="1" x14ac:dyDescent="0.35">
      <c r="A693" s="4"/>
      <c r="B693" s="4"/>
      <c r="C693" s="4"/>
      <c r="D693" s="4"/>
      <c r="E693" s="4"/>
      <c r="F693" s="4"/>
      <c r="G693" s="4"/>
    </row>
    <row r="694" spans="1:7" ht="15.75" customHeight="1" x14ac:dyDescent="0.35">
      <c r="A694" s="4"/>
      <c r="B694" s="4"/>
      <c r="C694" s="4"/>
      <c r="D694" s="4"/>
      <c r="E694" s="4"/>
      <c r="F694" s="4"/>
      <c r="G694" s="4"/>
    </row>
    <row r="695" spans="1:7" ht="15.75" customHeight="1" x14ac:dyDescent="0.35">
      <c r="A695" s="4"/>
      <c r="B695" s="4"/>
      <c r="C695" s="4"/>
      <c r="D695" s="4"/>
      <c r="E695" s="4"/>
      <c r="F695" s="4"/>
      <c r="G695" s="4"/>
    </row>
    <row r="696" spans="1:7" ht="15.75" customHeight="1" x14ac:dyDescent="0.35">
      <c r="A696" s="4"/>
      <c r="B696" s="4"/>
      <c r="C696" s="4"/>
      <c r="D696" s="4"/>
      <c r="E696" s="4"/>
      <c r="F696" s="4"/>
      <c r="G696" s="4"/>
    </row>
    <row r="697" spans="1:7" ht="15.75" customHeight="1" x14ac:dyDescent="0.35">
      <c r="A697" s="4"/>
      <c r="B697" s="4"/>
      <c r="C697" s="4"/>
      <c r="D697" s="4"/>
      <c r="E697" s="4"/>
      <c r="F697" s="4"/>
      <c r="G697" s="4"/>
    </row>
    <row r="698" spans="1:7" ht="15.75" customHeight="1" x14ac:dyDescent="0.35">
      <c r="A698" s="4"/>
      <c r="B698" s="4"/>
      <c r="C698" s="4"/>
      <c r="D698" s="4"/>
      <c r="E698" s="4"/>
      <c r="F698" s="4"/>
      <c r="G698" s="4"/>
    </row>
    <row r="699" spans="1:7" ht="15.75" customHeight="1" x14ac:dyDescent="0.35">
      <c r="A699" s="4"/>
      <c r="B699" s="4"/>
      <c r="C699" s="4"/>
      <c r="D699" s="4"/>
      <c r="E699" s="4"/>
      <c r="F699" s="4"/>
      <c r="G699" s="4"/>
    </row>
    <row r="700" spans="1:7" ht="15.75" customHeight="1" x14ac:dyDescent="0.35">
      <c r="A700" s="4"/>
      <c r="B700" s="4"/>
      <c r="C700" s="4"/>
      <c r="D700" s="4"/>
      <c r="E700" s="4"/>
      <c r="F700" s="4"/>
      <c r="G700" s="4"/>
    </row>
    <row r="701" spans="1:7" ht="15.75" customHeight="1" x14ac:dyDescent="0.35">
      <c r="A701" s="4"/>
      <c r="B701" s="4"/>
      <c r="C701" s="4"/>
      <c r="D701" s="4"/>
      <c r="E701" s="4"/>
      <c r="F701" s="4"/>
      <c r="G701" s="4"/>
    </row>
    <row r="702" spans="1:7" ht="15.75" customHeight="1" x14ac:dyDescent="0.35">
      <c r="A702" s="4"/>
      <c r="B702" s="4"/>
      <c r="C702" s="4"/>
      <c r="D702" s="4"/>
      <c r="E702" s="4"/>
      <c r="F702" s="4"/>
      <c r="G702" s="4"/>
    </row>
    <row r="703" spans="1:7" ht="15.75" customHeight="1" x14ac:dyDescent="0.35">
      <c r="A703" s="4"/>
      <c r="B703" s="4"/>
      <c r="C703" s="4"/>
      <c r="D703" s="4"/>
      <c r="E703" s="4"/>
      <c r="F703" s="4"/>
      <c r="G703" s="4"/>
    </row>
    <row r="704" spans="1:7" ht="15.75" customHeight="1" x14ac:dyDescent="0.35">
      <c r="A704" s="4"/>
      <c r="B704" s="4"/>
      <c r="C704" s="4"/>
      <c r="D704" s="4"/>
      <c r="E704" s="4"/>
      <c r="F704" s="4"/>
      <c r="G704" s="4"/>
    </row>
    <row r="705" spans="1:7" ht="15.75" customHeight="1" x14ac:dyDescent="0.35">
      <c r="A705" s="4"/>
      <c r="B705" s="4"/>
      <c r="C705" s="4"/>
      <c r="D705" s="4"/>
      <c r="E705" s="4"/>
      <c r="F705" s="4"/>
      <c r="G705" s="4"/>
    </row>
    <row r="706" spans="1:7" ht="15.75" customHeight="1" x14ac:dyDescent="0.35">
      <c r="A706" s="4"/>
      <c r="B706" s="4"/>
      <c r="C706" s="4"/>
      <c r="D706" s="4"/>
      <c r="E706" s="4"/>
      <c r="F706" s="4"/>
      <c r="G706" s="4"/>
    </row>
    <row r="707" spans="1:7" ht="15.75" customHeight="1" x14ac:dyDescent="0.35">
      <c r="A707" s="4"/>
      <c r="B707" s="4"/>
      <c r="C707" s="4"/>
      <c r="D707" s="4"/>
      <c r="E707" s="4"/>
      <c r="F707" s="4"/>
      <c r="G707" s="4"/>
    </row>
    <row r="708" spans="1:7" ht="15.75" customHeight="1" x14ac:dyDescent="0.35">
      <c r="A708" s="4"/>
      <c r="B708" s="4"/>
      <c r="C708" s="4"/>
      <c r="D708" s="4"/>
      <c r="E708" s="4"/>
      <c r="F708" s="4"/>
      <c r="G708" s="4"/>
    </row>
    <row r="709" spans="1:7" ht="15.75" customHeight="1" x14ac:dyDescent="0.35">
      <c r="A709" s="4"/>
      <c r="B709" s="4"/>
      <c r="C709" s="4"/>
      <c r="D709" s="4"/>
      <c r="E709" s="4"/>
      <c r="F709" s="4"/>
      <c r="G709" s="4"/>
    </row>
    <row r="710" spans="1:7" ht="15.75" customHeight="1" x14ac:dyDescent="0.35">
      <c r="A710" s="4"/>
      <c r="B710" s="4"/>
      <c r="C710" s="4"/>
      <c r="D710" s="4"/>
      <c r="E710" s="4"/>
      <c r="F710" s="4"/>
      <c r="G710" s="4"/>
    </row>
    <row r="711" spans="1:7" ht="15.75" customHeight="1" x14ac:dyDescent="0.35">
      <c r="A711" s="4"/>
      <c r="B711" s="4"/>
      <c r="C711" s="4"/>
      <c r="D711" s="4"/>
      <c r="E711" s="4"/>
      <c r="F711" s="4"/>
      <c r="G711" s="4"/>
    </row>
    <row r="712" spans="1:7" ht="15.75" customHeight="1" x14ac:dyDescent="0.35">
      <c r="A712" s="4"/>
      <c r="B712" s="4"/>
      <c r="C712" s="4"/>
      <c r="D712" s="4"/>
      <c r="E712" s="4"/>
      <c r="F712" s="4"/>
      <c r="G712" s="4"/>
    </row>
    <row r="713" spans="1:7" ht="15.75" customHeight="1" x14ac:dyDescent="0.35">
      <c r="A713" s="4"/>
      <c r="B713" s="4"/>
      <c r="C713" s="4"/>
      <c r="D713" s="4"/>
      <c r="E713" s="4"/>
      <c r="F713" s="4"/>
      <c r="G713" s="4"/>
    </row>
    <row r="714" spans="1:7" ht="15.75" customHeight="1" x14ac:dyDescent="0.35">
      <c r="A714" s="4"/>
      <c r="B714" s="4"/>
      <c r="C714" s="4"/>
      <c r="D714" s="4"/>
      <c r="E714" s="4"/>
      <c r="F714" s="4"/>
      <c r="G714" s="4"/>
    </row>
    <row r="715" spans="1:7" ht="15.75" customHeight="1" x14ac:dyDescent="0.35">
      <c r="A715" s="4"/>
      <c r="B715" s="4"/>
      <c r="C715" s="4"/>
      <c r="D715" s="4"/>
      <c r="E715" s="4"/>
      <c r="F715" s="4"/>
      <c r="G715" s="4"/>
    </row>
    <row r="716" spans="1:7" ht="15.75" customHeight="1" x14ac:dyDescent="0.35">
      <c r="A716" s="4"/>
      <c r="B716" s="4"/>
      <c r="C716" s="4"/>
      <c r="D716" s="4"/>
      <c r="E716" s="4"/>
      <c r="F716" s="4"/>
      <c r="G716" s="4"/>
    </row>
    <row r="717" spans="1:7" ht="15.75" customHeight="1" x14ac:dyDescent="0.35">
      <c r="A717" s="4"/>
      <c r="B717" s="4"/>
      <c r="C717" s="4"/>
      <c r="D717" s="4"/>
      <c r="E717" s="4"/>
      <c r="F717" s="4"/>
      <c r="G717" s="4"/>
    </row>
    <row r="718" spans="1:7" ht="15.75" customHeight="1" x14ac:dyDescent="0.35">
      <c r="A718" s="4"/>
      <c r="B718" s="4"/>
      <c r="C718" s="4"/>
      <c r="D718" s="4"/>
      <c r="E718" s="4"/>
      <c r="F718" s="4"/>
      <c r="G718" s="4"/>
    </row>
    <row r="719" spans="1:7" ht="15.75" customHeight="1" x14ac:dyDescent="0.35">
      <c r="A719" s="4"/>
      <c r="B719" s="4"/>
      <c r="C719" s="4"/>
      <c r="D719" s="4"/>
      <c r="E719" s="4"/>
      <c r="F719" s="4"/>
      <c r="G719" s="4"/>
    </row>
    <row r="720" spans="1:7" ht="15.75" customHeight="1" x14ac:dyDescent="0.35">
      <c r="A720" s="4"/>
      <c r="B720" s="4"/>
      <c r="C720" s="4"/>
      <c r="D720" s="4"/>
      <c r="E720" s="4"/>
      <c r="F720" s="4"/>
      <c r="G720" s="4"/>
    </row>
    <row r="721" spans="1:7" ht="15.75" customHeight="1" x14ac:dyDescent="0.35">
      <c r="A721" s="4"/>
      <c r="B721" s="4"/>
      <c r="C721" s="4"/>
      <c r="D721" s="4"/>
      <c r="E721" s="4"/>
      <c r="F721" s="4"/>
      <c r="G721" s="4"/>
    </row>
    <row r="722" spans="1:7" ht="15.75" customHeight="1" x14ac:dyDescent="0.35">
      <c r="A722" s="4"/>
      <c r="B722" s="4"/>
      <c r="C722" s="4"/>
      <c r="D722" s="4"/>
      <c r="E722" s="4"/>
      <c r="F722" s="4"/>
      <c r="G722" s="4"/>
    </row>
    <row r="723" spans="1:7" ht="15.75" customHeight="1" x14ac:dyDescent="0.35">
      <c r="A723" s="4"/>
      <c r="B723" s="4"/>
      <c r="C723" s="4"/>
      <c r="D723" s="4"/>
      <c r="E723" s="4"/>
      <c r="F723" s="4"/>
      <c r="G723" s="4"/>
    </row>
    <row r="724" spans="1:7" ht="15.75" customHeight="1" x14ac:dyDescent="0.35">
      <c r="A724" s="4"/>
      <c r="B724" s="4"/>
      <c r="C724" s="4"/>
      <c r="D724" s="4"/>
      <c r="E724" s="4"/>
      <c r="F724" s="4"/>
      <c r="G724" s="4"/>
    </row>
    <row r="725" spans="1:7" ht="15.75" customHeight="1" x14ac:dyDescent="0.35">
      <c r="A725" s="4"/>
      <c r="B725" s="4"/>
      <c r="C725" s="4"/>
      <c r="D725" s="4"/>
      <c r="E725" s="4"/>
      <c r="F725" s="4"/>
      <c r="G725" s="4"/>
    </row>
    <row r="726" spans="1:7" ht="15.75" customHeight="1" x14ac:dyDescent="0.35">
      <c r="A726" s="4"/>
      <c r="B726" s="4"/>
      <c r="C726" s="4"/>
      <c r="D726" s="4"/>
      <c r="E726" s="4"/>
      <c r="F726" s="4"/>
      <c r="G726" s="4"/>
    </row>
    <row r="727" spans="1:7" ht="15.75" customHeight="1" x14ac:dyDescent="0.35">
      <c r="A727" s="4"/>
      <c r="B727" s="4"/>
      <c r="C727" s="4"/>
      <c r="D727" s="4"/>
      <c r="E727" s="4"/>
      <c r="F727" s="4"/>
      <c r="G727" s="4"/>
    </row>
    <row r="728" spans="1:7" ht="15.75" customHeight="1" x14ac:dyDescent="0.35">
      <c r="A728" s="4"/>
      <c r="B728" s="4"/>
      <c r="C728" s="4"/>
      <c r="D728" s="4"/>
      <c r="E728" s="4"/>
      <c r="F728" s="4"/>
      <c r="G728" s="4"/>
    </row>
    <row r="729" spans="1:7" ht="15.75" customHeight="1" x14ac:dyDescent="0.35">
      <c r="A729" s="4"/>
      <c r="B729" s="4"/>
      <c r="C729" s="4"/>
      <c r="D729" s="4"/>
      <c r="E729" s="4"/>
      <c r="F729" s="4"/>
      <c r="G729" s="4"/>
    </row>
    <row r="730" spans="1:7" ht="15.75" customHeight="1" x14ac:dyDescent="0.35">
      <c r="A730" s="4"/>
      <c r="B730" s="4"/>
      <c r="C730" s="4"/>
      <c r="D730" s="4"/>
      <c r="E730" s="4"/>
      <c r="F730" s="4"/>
      <c r="G730" s="4"/>
    </row>
    <row r="731" spans="1:7" ht="15.75" customHeight="1" x14ac:dyDescent="0.35">
      <c r="A731" s="4"/>
      <c r="B731" s="4"/>
      <c r="C731" s="4"/>
      <c r="D731" s="4"/>
      <c r="E731" s="4"/>
      <c r="F731" s="4"/>
      <c r="G731" s="4"/>
    </row>
    <row r="732" spans="1:7" ht="15.75" customHeight="1" x14ac:dyDescent="0.35">
      <c r="A732" s="4"/>
      <c r="B732" s="4"/>
      <c r="C732" s="4"/>
      <c r="D732" s="4"/>
      <c r="E732" s="4"/>
      <c r="F732" s="4"/>
      <c r="G732" s="4"/>
    </row>
    <row r="733" spans="1:7" ht="15.75" customHeight="1" x14ac:dyDescent="0.35">
      <c r="A733" s="4"/>
      <c r="B733" s="4"/>
      <c r="C733" s="4"/>
      <c r="D733" s="4"/>
      <c r="E733" s="4"/>
      <c r="F733" s="4"/>
      <c r="G733" s="4"/>
    </row>
    <row r="734" spans="1:7" ht="15.75" customHeight="1" x14ac:dyDescent="0.35">
      <c r="A734" s="4"/>
      <c r="B734" s="4"/>
      <c r="C734" s="4"/>
      <c r="D734" s="4"/>
      <c r="E734" s="4"/>
      <c r="F734" s="4"/>
      <c r="G734" s="4"/>
    </row>
    <row r="735" spans="1:7" ht="15.75" customHeight="1" x14ac:dyDescent="0.35">
      <c r="A735" s="4"/>
      <c r="B735" s="4"/>
      <c r="C735" s="4"/>
      <c r="D735" s="4"/>
      <c r="E735" s="4"/>
      <c r="F735" s="4"/>
      <c r="G735" s="4"/>
    </row>
    <row r="736" spans="1:7" ht="15.75" customHeight="1" x14ac:dyDescent="0.35">
      <c r="A736" s="4"/>
      <c r="B736" s="4"/>
      <c r="C736" s="4"/>
      <c r="D736" s="4"/>
      <c r="E736" s="4"/>
      <c r="F736" s="4"/>
      <c r="G736" s="4"/>
    </row>
    <row r="737" spans="1:7" ht="15.75" customHeight="1" x14ac:dyDescent="0.35">
      <c r="A737" s="4"/>
      <c r="B737" s="4"/>
      <c r="C737" s="4"/>
      <c r="D737" s="4"/>
      <c r="E737" s="4"/>
      <c r="F737" s="4"/>
      <c r="G737" s="4"/>
    </row>
    <row r="738" spans="1:7" ht="15.75" customHeight="1" x14ac:dyDescent="0.35">
      <c r="A738" s="4"/>
      <c r="B738" s="4"/>
      <c r="C738" s="4"/>
      <c r="D738" s="4"/>
      <c r="E738" s="4"/>
      <c r="F738" s="4"/>
      <c r="G738" s="4"/>
    </row>
    <row r="739" spans="1:7" ht="15.75" customHeight="1" x14ac:dyDescent="0.35">
      <c r="A739" s="4"/>
      <c r="B739" s="4"/>
      <c r="C739" s="4"/>
      <c r="D739" s="4"/>
      <c r="E739" s="4"/>
      <c r="F739" s="4"/>
      <c r="G739" s="4"/>
    </row>
    <row r="740" spans="1:7" ht="15.75" customHeight="1" x14ac:dyDescent="0.35">
      <c r="A740" s="4"/>
      <c r="B740" s="4"/>
      <c r="C740" s="4"/>
      <c r="D740" s="4"/>
      <c r="E740" s="4"/>
      <c r="F740" s="4"/>
      <c r="G740" s="4"/>
    </row>
    <row r="741" spans="1:7" ht="15.75" customHeight="1" x14ac:dyDescent="0.35">
      <c r="A741" s="4"/>
      <c r="B741" s="4"/>
      <c r="C741" s="4"/>
      <c r="D741" s="4"/>
      <c r="E741" s="4"/>
      <c r="F741" s="4"/>
      <c r="G741" s="4"/>
    </row>
    <row r="742" spans="1:7" ht="15.75" customHeight="1" x14ac:dyDescent="0.35">
      <c r="A742" s="4"/>
      <c r="B742" s="4"/>
      <c r="C742" s="4"/>
      <c r="D742" s="4"/>
      <c r="E742" s="4"/>
      <c r="F742" s="4"/>
      <c r="G742" s="4"/>
    </row>
    <row r="743" spans="1:7" ht="15.75" customHeight="1" x14ac:dyDescent="0.35">
      <c r="A743" s="4"/>
      <c r="B743" s="4"/>
      <c r="C743" s="4"/>
      <c r="D743" s="4"/>
      <c r="E743" s="4"/>
      <c r="F743" s="4"/>
      <c r="G743" s="4"/>
    </row>
    <row r="744" spans="1:7" ht="15.75" customHeight="1" x14ac:dyDescent="0.35">
      <c r="A744" s="4"/>
      <c r="B744" s="4"/>
      <c r="C744" s="4"/>
      <c r="D744" s="4"/>
      <c r="E744" s="4"/>
      <c r="F744" s="4"/>
      <c r="G744" s="4"/>
    </row>
    <row r="745" spans="1:7" ht="15.75" customHeight="1" x14ac:dyDescent="0.35">
      <c r="A745" s="4"/>
      <c r="B745" s="4"/>
      <c r="C745" s="4"/>
      <c r="D745" s="4"/>
      <c r="E745" s="4"/>
      <c r="F745" s="4"/>
      <c r="G745" s="4"/>
    </row>
    <row r="746" spans="1:7" ht="15.75" customHeight="1" x14ac:dyDescent="0.35">
      <c r="A746" s="4"/>
      <c r="B746" s="4"/>
      <c r="C746" s="4"/>
      <c r="D746" s="4"/>
      <c r="E746" s="4"/>
      <c r="F746" s="4"/>
      <c r="G746" s="4"/>
    </row>
    <row r="747" spans="1:7" ht="15.75" customHeight="1" x14ac:dyDescent="0.35">
      <c r="A747" s="4"/>
      <c r="B747" s="4"/>
      <c r="C747" s="4"/>
      <c r="D747" s="4"/>
      <c r="E747" s="4"/>
      <c r="F747" s="4"/>
      <c r="G747" s="4"/>
    </row>
    <row r="748" spans="1:7" ht="15.75" customHeight="1" x14ac:dyDescent="0.35">
      <c r="A748" s="4"/>
      <c r="B748" s="4"/>
      <c r="C748" s="4"/>
      <c r="D748" s="4"/>
      <c r="E748" s="4"/>
      <c r="F748" s="4"/>
      <c r="G748" s="4"/>
    </row>
    <row r="749" spans="1:7" ht="15.75" customHeight="1" x14ac:dyDescent="0.35">
      <c r="A749" s="4"/>
      <c r="B749" s="4"/>
      <c r="C749" s="4"/>
      <c r="D749" s="4"/>
      <c r="E749" s="4"/>
      <c r="F749" s="4"/>
      <c r="G749" s="4"/>
    </row>
    <row r="750" spans="1:7" ht="15.75" customHeight="1" x14ac:dyDescent="0.35">
      <c r="A750" s="4"/>
      <c r="B750" s="4"/>
      <c r="C750" s="4"/>
      <c r="D750" s="4"/>
      <c r="E750" s="4"/>
      <c r="F750" s="4"/>
      <c r="G750" s="4"/>
    </row>
    <row r="751" spans="1:7" ht="15.75" customHeight="1" x14ac:dyDescent="0.35">
      <c r="A751" s="4"/>
      <c r="B751" s="4"/>
      <c r="C751" s="4"/>
      <c r="D751" s="4"/>
      <c r="E751" s="4"/>
      <c r="F751" s="4"/>
      <c r="G751" s="4"/>
    </row>
    <row r="752" spans="1:7" ht="15.75" customHeight="1" x14ac:dyDescent="0.35">
      <c r="A752" s="4"/>
      <c r="B752" s="4"/>
      <c r="C752" s="4"/>
      <c r="D752" s="4"/>
      <c r="E752" s="4"/>
      <c r="F752" s="4"/>
      <c r="G752" s="4"/>
    </row>
    <row r="753" spans="1:7" ht="15.75" customHeight="1" x14ac:dyDescent="0.35">
      <c r="A753" s="4"/>
      <c r="B753" s="4"/>
      <c r="C753" s="4"/>
      <c r="D753" s="4"/>
      <c r="E753" s="4"/>
      <c r="F753" s="4"/>
      <c r="G753" s="4"/>
    </row>
    <row r="754" spans="1:7" ht="15.75" customHeight="1" x14ac:dyDescent="0.35">
      <c r="A754" s="4"/>
      <c r="B754" s="4"/>
      <c r="C754" s="4"/>
      <c r="D754" s="4"/>
      <c r="E754" s="4"/>
      <c r="F754" s="4"/>
      <c r="G754" s="4"/>
    </row>
    <row r="755" spans="1:7" ht="15.75" customHeight="1" x14ac:dyDescent="0.35">
      <c r="A755" s="4"/>
      <c r="B755" s="4"/>
      <c r="C755" s="4"/>
      <c r="D755" s="4"/>
      <c r="E755" s="4"/>
      <c r="F755" s="4"/>
      <c r="G755" s="4"/>
    </row>
    <row r="756" spans="1:7" ht="15.75" customHeight="1" x14ac:dyDescent="0.35">
      <c r="A756" s="4"/>
      <c r="B756" s="4"/>
      <c r="C756" s="4"/>
      <c r="D756" s="4"/>
      <c r="E756" s="4"/>
      <c r="F756" s="4"/>
      <c r="G756" s="4"/>
    </row>
    <row r="757" spans="1:7" ht="15.75" customHeight="1" x14ac:dyDescent="0.35">
      <c r="A757" s="4"/>
      <c r="B757" s="4"/>
      <c r="C757" s="4"/>
      <c r="D757" s="4"/>
      <c r="E757" s="4"/>
      <c r="F757" s="4"/>
      <c r="G757" s="4"/>
    </row>
    <row r="758" spans="1:7" ht="15.75" customHeight="1" x14ac:dyDescent="0.35">
      <c r="A758" s="4"/>
      <c r="B758" s="4"/>
      <c r="C758" s="4"/>
      <c r="D758" s="4"/>
      <c r="E758" s="4"/>
      <c r="F758" s="4"/>
      <c r="G758" s="4"/>
    </row>
    <row r="759" spans="1:7" ht="15.75" customHeight="1" x14ac:dyDescent="0.35">
      <c r="A759" s="4"/>
      <c r="B759" s="4"/>
      <c r="C759" s="4"/>
      <c r="D759" s="4"/>
      <c r="E759" s="4"/>
      <c r="F759" s="4"/>
      <c r="G759" s="4"/>
    </row>
    <row r="760" spans="1:7" ht="15.75" customHeight="1" x14ac:dyDescent="0.35">
      <c r="A760" s="4"/>
      <c r="B760" s="4"/>
      <c r="C760" s="4"/>
      <c r="D760" s="4"/>
      <c r="E760" s="4"/>
      <c r="F760" s="4"/>
      <c r="G760" s="4"/>
    </row>
    <row r="761" spans="1:7" ht="15.75" customHeight="1" x14ac:dyDescent="0.35">
      <c r="A761" s="4"/>
      <c r="B761" s="4"/>
      <c r="C761" s="4"/>
      <c r="D761" s="4"/>
      <c r="E761" s="4"/>
      <c r="F761" s="4"/>
      <c r="G761" s="4"/>
    </row>
    <row r="762" spans="1:7" ht="15.75" customHeight="1" x14ac:dyDescent="0.35">
      <c r="A762" s="4"/>
      <c r="B762" s="4"/>
      <c r="C762" s="4"/>
      <c r="D762" s="4"/>
      <c r="E762" s="4"/>
      <c r="F762" s="4"/>
      <c r="G762" s="4"/>
    </row>
    <row r="763" spans="1:7" ht="15.75" customHeight="1" x14ac:dyDescent="0.35">
      <c r="A763" s="4"/>
      <c r="B763" s="4"/>
      <c r="C763" s="4"/>
      <c r="D763" s="4"/>
      <c r="E763" s="4"/>
      <c r="F763" s="4"/>
      <c r="G763" s="4"/>
    </row>
    <row r="764" spans="1:7" ht="15.75" customHeight="1" x14ac:dyDescent="0.35">
      <c r="A764" s="4"/>
      <c r="B764" s="4"/>
      <c r="C764" s="4"/>
      <c r="D764" s="4"/>
      <c r="E764" s="4"/>
      <c r="F764" s="4"/>
      <c r="G764" s="4"/>
    </row>
    <row r="765" spans="1:7" ht="15.75" customHeight="1" x14ac:dyDescent="0.35">
      <c r="A765" s="4"/>
      <c r="B765" s="4"/>
      <c r="C765" s="4"/>
      <c r="D765" s="4"/>
      <c r="E765" s="4"/>
      <c r="F765" s="4"/>
      <c r="G765" s="4"/>
    </row>
    <row r="766" spans="1:7" ht="15.75" customHeight="1" x14ac:dyDescent="0.35">
      <c r="A766" s="4"/>
      <c r="B766" s="4"/>
      <c r="C766" s="4"/>
      <c r="D766" s="4"/>
      <c r="E766" s="4"/>
      <c r="F766" s="4"/>
      <c r="G766" s="4"/>
    </row>
    <row r="767" spans="1:7" ht="15.75" customHeight="1" x14ac:dyDescent="0.35">
      <c r="A767" s="4"/>
      <c r="B767" s="4"/>
      <c r="C767" s="4"/>
      <c r="D767" s="4"/>
      <c r="E767" s="4"/>
      <c r="F767" s="4"/>
      <c r="G767" s="4"/>
    </row>
    <row r="768" spans="1:7" ht="15.75" customHeight="1" x14ac:dyDescent="0.35">
      <c r="A768" s="4"/>
      <c r="B768" s="4"/>
      <c r="C768" s="4"/>
      <c r="D768" s="4"/>
      <c r="E768" s="4"/>
      <c r="F768" s="4"/>
      <c r="G768" s="4"/>
    </row>
    <row r="769" spans="1:7" ht="15.75" customHeight="1" x14ac:dyDescent="0.35">
      <c r="A769" s="4"/>
      <c r="B769" s="4"/>
      <c r="C769" s="4"/>
      <c r="D769" s="4"/>
      <c r="E769" s="4"/>
      <c r="F769" s="4"/>
      <c r="G769" s="4"/>
    </row>
    <row r="770" spans="1:7" ht="15.75" customHeight="1" x14ac:dyDescent="0.35">
      <c r="A770" s="4"/>
      <c r="B770" s="4"/>
      <c r="C770" s="4"/>
      <c r="D770" s="4"/>
      <c r="E770" s="4"/>
      <c r="F770" s="4"/>
      <c r="G770" s="4"/>
    </row>
    <row r="771" spans="1:7" ht="15.75" customHeight="1" x14ac:dyDescent="0.35">
      <c r="A771" s="4"/>
      <c r="B771" s="4"/>
      <c r="C771" s="4"/>
      <c r="D771" s="4"/>
      <c r="E771" s="4"/>
      <c r="F771" s="4"/>
      <c r="G771" s="4"/>
    </row>
    <row r="772" spans="1:7" ht="15.75" customHeight="1" x14ac:dyDescent="0.35">
      <c r="A772" s="4"/>
      <c r="B772" s="4"/>
      <c r="C772" s="4"/>
      <c r="D772" s="4"/>
      <c r="E772" s="4"/>
      <c r="F772" s="4"/>
      <c r="G772" s="4"/>
    </row>
    <row r="773" spans="1:7" ht="15.75" customHeight="1" x14ac:dyDescent="0.35">
      <c r="A773" s="4"/>
      <c r="B773" s="4"/>
      <c r="C773" s="4"/>
      <c r="D773" s="4"/>
      <c r="E773" s="4"/>
      <c r="F773" s="4"/>
      <c r="G773" s="4"/>
    </row>
    <row r="774" spans="1:7" ht="15.75" customHeight="1" x14ac:dyDescent="0.35">
      <c r="A774" s="4"/>
      <c r="B774" s="4"/>
      <c r="C774" s="4"/>
      <c r="D774" s="4"/>
      <c r="E774" s="4"/>
      <c r="F774" s="4"/>
      <c r="G774" s="4"/>
    </row>
    <row r="775" spans="1:7" ht="15.75" customHeight="1" x14ac:dyDescent="0.35">
      <c r="A775" s="4"/>
      <c r="B775" s="4"/>
      <c r="C775" s="4"/>
      <c r="D775" s="4"/>
      <c r="E775" s="4"/>
      <c r="F775" s="4"/>
      <c r="G775" s="4"/>
    </row>
    <row r="776" spans="1:7" ht="15.75" customHeight="1" x14ac:dyDescent="0.35">
      <c r="A776" s="4"/>
      <c r="B776" s="4"/>
      <c r="C776" s="4"/>
      <c r="D776" s="4"/>
      <c r="E776" s="4"/>
      <c r="F776" s="4"/>
      <c r="G776" s="4"/>
    </row>
    <row r="777" spans="1:7" ht="15.75" customHeight="1" x14ac:dyDescent="0.35">
      <c r="A777" s="4"/>
      <c r="B777" s="4"/>
      <c r="C777" s="4"/>
      <c r="D777" s="4"/>
      <c r="E777" s="4"/>
      <c r="F777" s="4"/>
      <c r="G777" s="4"/>
    </row>
    <row r="778" spans="1:7" ht="15.75" customHeight="1" x14ac:dyDescent="0.35">
      <c r="A778" s="4"/>
      <c r="B778" s="4"/>
      <c r="C778" s="4"/>
      <c r="D778" s="4"/>
      <c r="E778" s="4"/>
      <c r="F778" s="4"/>
      <c r="G778" s="4"/>
    </row>
    <row r="779" spans="1:7" ht="15.75" customHeight="1" x14ac:dyDescent="0.35">
      <c r="A779" s="4"/>
      <c r="B779" s="4"/>
      <c r="C779" s="4"/>
      <c r="D779" s="4"/>
      <c r="E779" s="4"/>
      <c r="F779" s="4"/>
      <c r="G779" s="4"/>
    </row>
    <row r="780" spans="1:7" ht="15.75" customHeight="1" x14ac:dyDescent="0.35">
      <c r="A780" s="4"/>
      <c r="B780" s="4"/>
      <c r="C780" s="4"/>
      <c r="D780" s="4"/>
      <c r="E780" s="4"/>
      <c r="F780" s="4"/>
      <c r="G780" s="4"/>
    </row>
    <row r="781" spans="1:7" ht="15.75" customHeight="1" x14ac:dyDescent="0.35">
      <c r="A781" s="4"/>
      <c r="B781" s="4"/>
      <c r="C781" s="4"/>
      <c r="D781" s="4"/>
      <c r="E781" s="4"/>
      <c r="F781" s="4"/>
      <c r="G781" s="4"/>
    </row>
    <row r="782" spans="1:7" ht="15.75" customHeight="1" x14ac:dyDescent="0.35">
      <c r="A782" s="4"/>
      <c r="B782" s="4"/>
      <c r="C782" s="4"/>
      <c r="D782" s="4"/>
      <c r="E782" s="4"/>
      <c r="F782" s="4"/>
      <c r="G782" s="4"/>
    </row>
    <row r="783" spans="1:7" ht="15.75" customHeight="1" x14ac:dyDescent="0.35">
      <c r="A783" s="4"/>
      <c r="B783" s="4"/>
      <c r="C783" s="4"/>
      <c r="D783" s="4"/>
      <c r="E783" s="4"/>
      <c r="F783" s="4"/>
      <c r="G783" s="4"/>
    </row>
    <row r="784" spans="1:7" ht="15.75" customHeight="1" x14ac:dyDescent="0.35">
      <c r="A784" s="4"/>
      <c r="B784" s="4"/>
      <c r="C784" s="4"/>
      <c r="D784" s="4"/>
      <c r="E784" s="4"/>
      <c r="F784" s="4"/>
      <c r="G784" s="4"/>
    </row>
    <row r="785" spans="1:7" ht="15.75" customHeight="1" x14ac:dyDescent="0.35">
      <c r="A785" s="4"/>
      <c r="B785" s="4"/>
      <c r="C785" s="4"/>
      <c r="D785" s="4"/>
      <c r="E785" s="4"/>
      <c r="F785" s="4"/>
      <c r="G785" s="4"/>
    </row>
    <row r="786" spans="1:7" ht="15.75" customHeight="1" x14ac:dyDescent="0.35">
      <c r="A786" s="4"/>
      <c r="B786" s="4"/>
      <c r="C786" s="4"/>
      <c r="D786" s="4"/>
      <c r="E786" s="4"/>
      <c r="F786" s="4"/>
      <c r="G786" s="4"/>
    </row>
    <row r="787" spans="1:7" ht="15.75" customHeight="1" x14ac:dyDescent="0.35">
      <c r="A787" s="4"/>
      <c r="B787" s="4"/>
      <c r="C787" s="4"/>
      <c r="D787" s="4"/>
      <c r="E787" s="4"/>
      <c r="F787" s="4"/>
      <c r="G787" s="4"/>
    </row>
    <row r="788" spans="1:7" ht="15.75" customHeight="1" x14ac:dyDescent="0.35">
      <c r="A788" s="4"/>
      <c r="B788" s="4"/>
      <c r="C788" s="4"/>
      <c r="D788" s="4"/>
      <c r="E788" s="4"/>
      <c r="F788" s="4"/>
      <c r="G788" s="4"/>
    </row>
    <row r="789" spans="1:7" ht="15.75" customHeight="1" x14ac:dyDescent="0.35">
      <c r="A789" s="4"/>
      <c r="B789" s="4"/>
      <c r="C789" s="4"/>
      <c r="D789" s="4"/>
      <c r="E789" s="4"/>
      <c r="F789" s="4"/>
      <c r="G789" s="4"/>
    </row>
    <row r="790" spans="1:7" ht="15.75" customHeight="1" x14ac:dyDescent="0.35">
      <c r="A790" s="4"/>
      <c r="B790" s="4"/>
      <c r="C790" s="4"/>
      <c r="D790" s="4"/>
      <c r="E790" s="4"/>
      <c r="F790" s="4"/>
      <c r="G790" s="4"/>
    </row>
    <row r="791" spans="1:7" ht="15.75" customHeight="1" x14ac:dyDescent="0.35">
      <c r="A791" s="4"/>
      <c r="B791" s="4"/>
      <c r="C791" s="4"/>
      <c r="D791" s="4"/>
      <c r="E791" s="4"/>
      <c r="F791" s="4"/>
      <c r="G791" s="4"/>
    </row>
    <row r="792" spans="1:7" ht="15.75" customHeight="1" x14ac:dyDescent="0.35">
      <c r="A792" s="4"/>
      <c r="B792" s="4"/>
      <c r="C792" s="4"/>
      <c r="D792" s="4"/>
      <c r="E792" s="4"/>
      <c r="F792" s="4"/>
      <c r="G792" s="4"/>
    </row>
    <row r="793" spans="1:7" ht="15.75" customHeight="1" x14ac:dyDescent="0.35">
      <c r="A793" s="4"/>
      <c r="B793" s="4"/>
      <c r="C793" s="4"/>
      <c r="D793" s="4"/>
      <c r="E793" s="4"/>
      <c r="F793" s="4"/>
      <c r="G793" s="4"/>
    </row>
    <row r="794" spans="1:7" ht="15.75" customHeight="1" x14ac:dyDescent="0.35">
      <c r="A794" s="4"/>
      <c r="B794" s="4"/>
      <c r="C794" s="4"/>
      <c r="D794" s="4"/>
      <c r="E794" s="4"/>
      <c r="F794" s="4"/>
      <c r="G794" s="4"/>
    </row>
    <row r="795" spans="1:7" ht="15.75" customHeight="1" x14ac:dyDescent="0.35">
      <c r="A795" s="4"/>
      <c r="B795" s="4"/>
      <c r="C795" s="4"/>
      <c r="D795" s="4"/>
      <c r="E795" s="4"/>
      <c r="F795" s="4"/>
      <c r="G795" s="4"/>
    </row>
    <row r="796" spans="1:7" ht="15.75" customHeight="1" x14ac:dyDescent="0.35">
      <c r="A796" s="4"/>
      <c r="B796" s="4"/>
      <c r="C796" s="4"/>
      <c r="D796" s="4"/>
      <c r="E796" s="4"/>
      <c r="F796" s="4"/>
      <c r="G796" s="4"/>
    </row>
    <row r="797" spans="1:7" ht="15.75" customHeight="1" x14ac:dyDescent="0.35">
      <c r="A797" s="4"/>
      <c r="B797" s="4"/>
      <c r="C797" s="4"/>
      <c r="D797" s="4"/>
      <c r="E797" s="4"/>
      <c r="F797" s="4"/>
      <c r="G797" s="4"/>
    </row>
    <row r="798" spans="1:7" ht="15.75" customHeight="1" x14ac:dyDescent="0.35">
      <c r="A798" s="4"/>
      <c r="B798" s="4"/>
      <c r="C798" s="4"/>
      <c r="D798" s="4"/>
      <c r="E798" s="4"/>
      <c r="F798" s="4"/>
      <c r="G798" s="4"/>
    </row>
    <row r="799" spans="1:7" ht="15.75" customHeight="1" x14ac:dyDescent="0.35">
      <c r="A799" s="4"/>
      <c r="B799" s="4"/>
      <c r="C799" s="4"/>
      <c r="D799" s="4"/>
      <c r="E799" s="4"/>
      <c r="F799" s="4"/>
      <c r="G799" s="4"/>
    </row>
    <row r="800" spans="1:7" ht="15.75" customHeight="1" x14ac:dyDescent="0.35">
      <c r="A800" s="4"/>
      <c r="B800" s="4"/>
      <c r="C800" s="4"/>
      <c r="D800" s="4"/>
      <c r="E800" s="4"/>
      <c r="F800" s="4"/>
      <c r="G800" s="4"/>
    </row>
    <row r="801" spans="1:7" ht="15.75" customHeight="1" x14ac:dyDescent="0.35">
      <c r="A801" s="4"/>
      <c r="B801" s="4"/>
      <c r="C801" s="4"/>
      <c r="D801" s="4"/>
      <c r="E801" s="4"/>
      <c r="F801" s="4"/>
      <c r="G801" s="4"/>
    </row>
    <row r="802" spans="1:7" ht="15.75" customHeight="1" x14ac:dyDescent="0.35">
      <c r="A802" s="4"/>
      <c r="B802" s="4"/>
      <c r="C802" s="4"/>
      <c r="D802" s="4"/>
      <c r="E802" s="4"/>
      <c r="F802" s="4"/>
      <c r="G802" s="4"/>
    </row>
    <row r="803" spans="1:7" ht="15.75" customHeight="1" x14ac:dyDescent="0.35">
      <c r="A803" s="4"/>
      <c r="B803" s="4"/>
      <c r="C803" s="4"/>
      <c r="D803" s="4"/>
      <c r="E803" s="4"/>
      <c r="F803" s="4"/>
      <c r="G803" s="4"/>
    </row>
    <row r="804" spans="1:7" ht="15.75" customHeight="1" x14ac:dyDescent="0.35">
      <c r="A804" s="4"/>
      <c r="B804" s="4"/>
      <c r="C804" s="4"/>
      <c r="D804" s="4"/>
      <c r="E804" s="4"/>
      <c r="F804" s="4"/>
      <c r="G804" s="4"/>
    </row>
    <row r="805" spans="1:7" ht="15.75" customHeight="1" x14ac:dyDescent="0.35">
      <c r="A805" s="4"/>
      <c r="B805" s="4"/>
      <c r="C805" s="4"/>
      <c r="D805" s="4"/>
      <c r="E805" s="4"/>
      <c r="F805" s="4"/>
      <c r="G805" s="4"/>
    </row>
    <row r="806" spans="1:7" ht="15.75" customHeight="1" x14ac:dyDescent="0.35">
      <c r="A806" s="4"/>
      <c r="B806" s="4"/>
      <c r="C806" s="4"/>
      <c r="D806" s="4"/>
      <c r="E806" s="4"/>
      <c r="F806" s="4"/>
      <c r="G806" s="4"/>
    </row>
    <row r="807" spans="1:7" ht="15.75" customHeight="1" x14ac:dyDescent="0.35">
      <c r="A807" s="4"/>
      <c r="B807" s="4"/>
      <c r="C807" s="4"/>
      <c r="D807" s="4"/>
      <c r="E807" s="4"/>
      <c r="F807" s="4"/>
      <c r="G807" s="4"/>
    </row>
    <row r="808" spans="1:7" ht="15.75" customHeight="1" x14ac:dyDescent="0.35">
      <c r="A808" s="4"/>
      <c r="B808" s="4"/>
      <c r="C808" s="4"/>
      <c r="D808" s="4"/>
      <c r="E808" s="4"/>
      <c r="F808" s="4"/>
      <c r="G808" s="4"/>
    </row>
    <row r="809" spans="1:7" ht="15.75" customHeight="1" x14ac:dyDescent="0.35">
      <c r="A809" s="4"/>
      <c r="B809" s="4"/>
      <c r="C809" s="4"/>
      <c r="D809" s="4"/>
      <c r="E809" s="4"/>
      <c r="F809" s="4"/>
      <c r="G809" s="4"/>
    </row>
    <row r="810" spans="1:7" ht="15.75" customHeight="1" x14ac:dyDescent="0.35">
      <c r="A810" s="4"/>
      <c r="B810" s="4"/>
      <c r="C810" s="4"/>
      <c r="D810" s="4"/>
      <c r="E810" s="4"/>
      <c r="F810" s="4"/>
      <c r="G810" s="4"/>
    </row>
    <row r="811" spans="1:7" ht="15.75" customHeight="1" x14ac:dyDescent="0.35">
      <c r="A811" s="4"/>
      <c r="B811" s="4"/>
      <c r="C811" s="4"/>
      <c r="D811" s="4"/>
      <c r="E811" s="4"/>
      <c r="F811" s="4"/>
      <c r="G811" s="4"/>
    </row>
    <row r="812" spans="1:7" ht="15.75" customHeight="1" x14ac:dyDescent="0.35">
      <c r="A812" s="4"/>
      <c r="B812" s="4"/>
      <c r="C812" s="4"/>
      <c r="D812" s="4"/>
      <c r="E812" s="4"/>
      <c r="F812" s="4"/>
      <c r="G812" s="4"/>
    </row>
    <row r="813" spans="1:7" ht="15.75" customHeight="1" x14ac:dyDescent="0.35">
      <c r="A813" s="4"/>
      <c r="B813" s="4"/>
      <c r="C813" s="4"/>
      <c r="D813" s="4"/>
      <c r="E813" s="4"/>
      <c r="F813" s="4"/>
      <c r="G813" s="4"/>
    </row>
    <row r="814" spans="1:7" ht="15.75" customHeight="1" x14ac:dyDescent="0.35">
      <c r="A814" s="4"/>
      <c r="B814" s="4"/>
      <c r="C814" s="4"/>
      <c r="D814" s="4"/>
      <c r="E814" s="4"/>
      <c r="F814" s="4"/>
      <c r="G814" s="4"/>
    </row>
    <row r="815" spans="1:7" ht="15.75" customHeight="1" x14ac:dyDescent="0.35">
      <c r="A815" s="4"/>
      <c r="B815" s="4"/>
      <c r="C815" s="4"/>
      <c r="D815" s="4"/>
      <c r="E815" s="4"/>
      <c r="F815" s="4"/>
      <c r="G815" s="4"/>
    </row>
    <row r="816" spans="1:7" ht="15.75" customHeight="1" x14ac:dyDescent="0.35">
      <c r="A816" s="4"/>
      <c r="B816" s="4"/>
      <c r="C816" s="4"/>
      <c r="D816" s="4"/>
      <c r="E816" s="4"/>
      <c r="F816" s="4"/>
      <c r="G816" s="4"/>
    </row>
    <row r="817" spans="1:7" ht="15.75" customHeight="1" x14ac:dyDescent="0.35">
      <c r="A817" s="4"/>
      <c r="B817" s="4"/>
      <c r="C817" s="4"/>
      <c r="D817" s="4"/>
      <c r="E817" s="4"/>
      <c r="F817" s="4"/>
      <c r="G817" s="4"/>
    </row>
    <row r="818" spans="1:7" ht="15.75" customHeight="1" x14ac:dyDescent="0.35">
      <c r="A818" s="4"/>
      <c r="B818" s="4"/>
      <c r="C818" s="4"/>
      <c r="D818" s="4"/>
      <c r="E818" s="4"/>
      <c r="F818" s="4"/>
      <c r="G818" s="4"/>
    </row>
    <row r="819" spans="1:7" ht="15.75" customHeight="1" x14ac:dyDescent="0.35">
      <c r="A819" s="4"/>
      <c r="B819" s="4"/>
      <c r="C819" s="4"/>
      <c r="D819" s="4"/>
      <c r="E819" s="4"/>
      <c r="F819" s="4"/>
      <c r="G819" s="4"/>
    </row>
    <row r="820" spans="1:7" ht="15.75" customHeight="1" x14ac:dyDescent="0.35">
      <c r="A820" s="4"/>
      <c r="B820" s="4"/>
      <c r="C820" s="4"/>
      <c r="D820" s="4"/>
      <c r="E820" s="4"/>
      <c r="F820" s="4"/>
      <c r="G820" s="4"/>
    </row>
    <row r="821" spans="1:7" ht="15.75" customHeight="1" x14ac:dyDescent="0.35">
      <c r="A821" s="4"/>
      <c r="B821" s="4"/>
      <c r="C821" s="4"/>
      <c r="D821" s="4"/>
      <c r="E821" s="4"/>
      <c r="F821" s="4"/>
      <c r="G821" s="4"/>
    </row>
    <row r="822" spans="1:7" ht="15.75" customHeight="1" x14ac:dyDescent="0.35">
      <c r="A822" s="4"/>
      <c r="B822" s="4"/>
      <c r="C822" s="4"/>
      <c r="D822" s="4"/>
      <c r="E822" s="4"/>
      <c r="F822" s="4"/>
      <c r="G822" s="4"/>
    </row>
    <row r="823" spans="1:7" ht="15.75" customHeight="1" x14ac:dyDescent="0.35">
      <c r="A823" s="4"/>
      <c r="B823" s="4"/>
      <c r="C823" s="4"/>
      <c r="D823" s="4"/>
      <c r="E823" s="4"/>
      <c r="F823" s="4"/>
      <c r="G823" s="4"/>
    </row>
    <row r="824" spans="1:7" ht="15.75" customHeight="1" x14ac:dyDescent="0.35">
      <c r="A824" s="4"/>
      <c r="B824" s="4"/>
      <c r="C824" s="4"/>
      <c r="D824" s="4"/>
      <c r="E824" s="4"/>
      <c r="F824" s="4"/>
      <c r="G824" s="4"/>
    </row>
    <row r="825" spans="1:7" ht="15.75" customHeight="1" x14ac:dyDescent="0.35">
      <c r="A825" s="4"/>
      <c r="B825" s="4"/>
      <c r="C825" s="4"/>
      <c r="D825" s="4"/>
      <c r="E825" s="4"/>
      <c r="F825" s="4"/>
      <c r="G825" s="4"/>
    </row>
    <row r="826" spans="1:7" ht="15.75" customHeight="1" x14ac:dyDescent="0.35">
      <c r="A826" s="4"/>
      <c r="B826" s="4"/>
      <c r="C826" s="4"/>
      <c r="D826" s="4"/>
      <c r="E826" s="4"/>
      <c r="F826" s="4"/>
      <c r="G826" s="4"/>
    </row>
    <row r="827" spans="1:7" ht="15.75" customHeight="1" x14ac:dyDescent="0.35">
      <c r="A827" s="4"/>
      <c r="B827" s="4"/>
      <c r="C827" s="4"/>
      <c r="D827" s="4"/>
      <c r="E827" s="4"/>
      <c r="F827" s="4"/>
      <c r="G827" s="4"/>
    </row>
    <row r="828" spans="1:7" ht="15.75" customHeight="1" x14ac:dyDescent="0.35">
      <c r="A828" s="4"/>
      <c r="B828" s="4"/>
      <c r="C828" s="4"/>
      <c r="D828" s="4"/>
      <c r="E828" s="4"/>
      <c r="F828" s="4"/>
      <c r="G828" s="4"/>
    </row>
    <row r="829" spans="1:7" ht="15.75" customHeight="1" x14ac:dyDescent="0.35">
      <c r="A829" s="4"/>
      <c r="B829" s="4"/>
      <c r="C829" s="4"/>
      <c r="D829" s="4"/>
      <c r="E829" s="4"/>
      <c r="F829" s="4"/>
      <c r="G829" s="4"/>
    </row>
    <row r="830" spans="1:7" ht="15.75" customHeight="1" x14ac:dyDescent="0.35">
      <c r="A830" s="4"/>
      <c r="B830" s="4"/>
      <c r="C830" s="4"/>
      <c r="D830" s="4"/>
      <c r="E830" s="4"/>
      <c r="F830" s="4"/>
      <c r="G830" s="4"/>
    </row>
    <row r="831" spans="1:7" ht="15.75" customHeight="1" x14ac:dyDescent="0.35">
      <c r="A831" s="4"/>
      <c r="B831" s="4"/>
      <c r="C831" s="4"/>
      <c r="D831" s="4"/>
      <c r="E831" s="4"/>
      <c r="F831" s="4"/>
      <c r="G831" s="4"/>
    </row>
    <row r="832" spans="1:7" ht="15.75" customHeight="1" x14ac:dyDescent="0.35">
      <c r="A832" s="4"/>
      <c r="B832" s="4"/>
      <c r="C832" s="4"/>
      <c r="D832" s="4"/>
      <c r="E832" s="4"/>
      <c r="F832" s="4"/>
      <c r="G832" s="4"/>
    </row>
    <row r="833" spans="1:7" ht="15.75" customHeight="1" x14ac:dyDescent="0.35">
      <c r="A833" s="4"/>
      <c r="B833" s="4"/>
      <c r="C833" s="4"/>
      <c r="D833" s="4"/>
      <c r="E833" s="4"/>
      <c r="F833" s="4"/>
      <c r="G833" s="4"/>
    </row>
    <row r="834" spans="1:7" ht="15.75" customHeight="1" x14ac:dyDescent="0.35">
      <c r="A834" s="4"/>
      <c r="B834" s="4"/>
      <c r="C834" s="4"/>
      <c r="D834" s="4"/>
      <c r="E834" s="4"/>
      <c r="F834" s="4"/>
      <c r="G834" s="4"/>
    </row>
    <row r="835" spans="1:7" ht="15.75" customHeight="1" x14ac:dyDescent="0.35">
      <c r="A835" s="4"/>
      <c r="B835" s="4"/>
      <c r="C835" s="4"/>
      <c r="D835" s="4"/>
      <c r="E835" s="4"/>
      <c r="F835" s="4"/>
      <c r="G835" s="4"/>
    </row>
    <row r="836" spans="1:7" ht="15.75" customHeight="1" x14ac:dyDescent="0.35">
      <c r="A836" s="4"/>
      <c r="B836" s="4"/>
      <c r="C836" s="4"/>
      <c r="D836" s="4"/>
      <c r="E836" s="4"/>
      <c r="F836" s="4"/>
      <c r="G836" s="4"/>
    </row>
    <row r="837" spans="1:7" ht="15.75" customHeight="1" x14ac:dyDescent="0.35">
      <c r="A837" s="4"/>
      <c r="B837" s="4"/>
      <c r="C837" s="4"/>
      <c r="D837" s="4"/>
      <c r="E837" s="4"/>
      <c r="F837" s="4"/>
      <c r="G837" s="4"/>
    </row>
    <row r="838" spans="1:7" ht="15.75" customHeight="1" x14ac:dyDescent="0.35">
      <c r="A838" s="4"/>
      <c r="B838" s="4"/>
      <c r="C838" s="4"/>
      <c r="D838" s="4"/>
      <c r="E838" s="4"/>
      <c r="F838" s="4"/>
      <c r="G838" s="4"/>
    </row>
    <row r="839" spans="1:7" ht="15.75" customHeight="1" x14ac:dyDescent="0.35">
      <c r="A839" s="4"/>
      <c r="B839" s="4"/>
      <c r="C839" s="4"/>
      <c r="D839" s="4"/>
      <c r="E839" s="4"/>
      <c r="F839" s="4"/>
      <c r="G839" s="4"/>
    </row>
    <row r="840" spans="1:7" ht="15.75" customHeight="1" x14ac:dyDescent="0.35">
      <c r="A840" s="4"/>
      <c r="B840" s="4"/>
      <c r="C840" s="4"/>
      <c r="D840" s="4"/>
      <c r="E840" s="4"/>
      <c r="F840" s="4"/>
      <c r="G840" s="4"/>
    </row>
    <row r="841" spans="1:7" ht="15.75" customHeight="1" x14ac:dyDescent="0.35">
      <c r="A841" s="4"/>
      <c r="B841" s="4"/>
      <c r="C841" s="4"/>
      <c r="D841" s="4"/>
      <c r="E841" s="4"/>
      <c r="F841" s="4"/>
      <c r="G841" s="4"/>
    </row>
    <row r="842" spans="1:7" ht="15.75" customHeight="1" x14ac:dyDescent="0.35">
      <c r="A842" s="4"/>
      <c r="B842" s="4"/>
      <c r="C842" s="4"/>
      <c r="D842" s="4"/>
      <c r="E842" s="4"/>
      <c r="F842" s="4"/>
      <c r="G842" s="4"/>
    </row>
    <row r="843" spans="1:7" ht="15.75" customHeight="1" x14ac:dyDescent="0.35">
      <c r="A843" s="4"/>
      <c r="B843" s="4"/>
      <c r="C843" s="4"/>
      <c r="D843" s="4"/>
      <c r="E843" s="4"/>
      <c r="F843" s="4"/>
      <c r="G843" s="4"/>
    </row>
    <row r="844" spans="1:7" ht="15.75" customHeight="1" x14ac:dyDescent="0.35">
      <c r="A844" s="4"/>
      <c r="B844" s="4"/>
      <c r="C844" s="4"/>
      <c r="D844" s="4"/>
      <c r="E844" s="4"/>
      <c r="F844" s="4"/>
      <c r="G844" s="4"/>
    </row>
    <row r="845" spans="1:7" ht="15.75" customHeight="1" x14ac:dyDescent="0.35">
      <c r="A845" s="4"/>
      <c r="B845" s="4"/>
      <c r="C845" s="4"/>
      <c r="D845" s="4"/>
      <c r="E845" s="4"/>
      <c r="F845" s="4"/>
      <c r="G845" s="4"/>
    </row>
    <row r="846" spans="1:7" ht="15.75" customHeight="1" x14ac:dyDescent="0.35">
      <c r="A846" s="4"/>
      <c r="B846" s="4"/>
      <c r="C846" s="4"/>
      <c r="D846" s="4"/>
      <c r="E846" s="4"/>
      <c r="F846" s="4"/>
      <c r="G846" s="4"/>
    </row>
    <row r="847" spans="1:7" ht="15.75" customHeight="1" x14ac:dyDescent="0.35">
      <c r="A847" s="4"/>
      <c r="B847" s="4"/>
      <c r="C847" s="4"/>
      <c r="D847" s="4"/>
      <c r="E847" s="4"/>
      <c r="F847" s="4"/>
      <c r="G847" s="4"/>
    </row>
    <row r="848" spans="1:7" ht="15.75" customHeight="1" x14ac:dyDescent="0.35">
      <c r="A848" s="4"/>
      <c r="B848" s="4"/>
      <c r="C848" s="4"/>
      <c r="D848" s="4"/>
      <c r="E848" s="4"/>
      <c r="F848" s="4"/>
      <c r="G848" s="4"/>
    </row>
    <row r="849" spans="1:7" ht="15.75" customHeight="1" x14ac:dyDescent="0.35">
      <c r="A849" s="4"/>
      <c r="B849" s="4"/>
      <c r="C849" s="4"/>
      <c r="D849" s="4"/>
      <c r="E849" s="4"/>
      <c r="F849" s="4"/>
      <c r="G849" s="4"/>
    </row>
    <row r="850" spans="1:7" ht="15.75" customHeight="1" x14ac:dyDescent="0.35">
      <c r="A850" s="4"/>
      <c r="B850" s="4"/>
      <c r="C850" s="4"/>
      <c r="D850" s="4"/>
      <c r="E850" s="4"/>
      <c r="F850" s="4"/>
      <c r="G850" s="4"/>
    </row>
    <row r="851" spans="1:7" ht="15.75" customHeight="1" x14ac:dyDescent="0.35">
      <c r="A851" s="4"/>
      <c r="B851" s="4"/>
      <c r="C851" s="4"/>
      <c r="D851" s="4"/>
      <c r="E851" s="4"/>
      <c r="F851" s="4"/>
      <c r="G851" s="4"/>
    </row>
    <row r="852" spans="1:7" ht="15.75" customHeight="1" x14ac:dyDescent="0.35">
      <c r="A852" s="4"/>
      <c r="B852" s="4"/>
      <c r="C852" s="4"/>
      <c r="D852" s="4"/>
      <c r="E852" s="4"/>
      <c r="F852" s="4"/>
      <c r="G852" s="4"/>
    </row>
    <row r="853" spans="1:7" ht="15.75" customHeight="1" x14ac:dyDescent="0.35">
      <c r="A853" s="4"/>
      <c r="B853" s="4"/>
      <c r="C853" s="4"/>
      <c r="D853" s="4"/>
      <c r="E853" s="4"/>
      <c r="F853" s="4"/>
      <c r="G853" s="4"/>
    </row>
    <row r="854" spans="1:7" ht="15.75" customHeight="1" x14ac:dyDescent="0.35">
      <c r="A854" s="4"/>
      <c r="B854" s="4"/>
      <c r="C854" s="4"/>
      <c r="D854" s="4"/>
      <c r="E854" s="4"/>
      <c r="F854" s="4"/>
      <c r="G854" s="4"/>
    </row>
    <row r="855" spans="1:7" ht="15.75" customHeight="1" x14ac:dyDescent="0.35">
      <c r="A855" s="4"/>
      <c r="B855" s="4"/>
      <c r="C855" s="4"/>
      <c r="D855" s="4"/>
      <c r="E855" s="4"/>
      <c r="F855" s="4"/>
      <c r="G855" s="4"/>
    </row>
    <row r="856" spans="1:7" ht="15.75" customHeight="1" x14ac:dyDescent="0.35">
      <c r="A856" s="4"/>
      <c r="B856" s="4"/>
      <c r="C856" s="4"/>
      <c r="D856" s="4"/>
      <c r="E856" s="4"/>
      <c r="F856" s="4"/>
      <c r="G856" s="4"/>
    </row>
    <row r="857" spans="1:7" ht="15.75" customHeight="1" x14ac:dyDescent="0.35">
      <c r="A857" s="4"/>
      <c r="B857" s="4"/>
      <c r="C857" s="4"/>
      <c r="D857" s="4"/>
      <c r="E857" s="4"/>
      <c r="F857" s="4"/>
      <c r="G857" s="4"/>
    </row>
    <row r="858" spans="1:7" ht="15.75" customHeight="1" x14ac:dyDescent="0.35">
      <c r="A858" s="4"/>
      <c r="B858" s="4"/>
      <c r="C858" s="4"/>
      <c r="D858" s="4"/>
      <c r="E858" s="4"/>
      <c r="F858" s="4"/>
      <c r="G858" s="4"/>
    </row>
    <row r="859" spans="1:7" ht="15.75" customHeight="1" x14ac:dyDescent="0.35">
      <c r="A859" s="4"/>
      <c r="B859" s="4"/>
      <c r="C859" s="4"/>
      <c r="D859" s="4"/>
      <c r="E859" s="4"/>
      <c r="F859" s="4"/>
      <c r="G859" s="4"/>
    </row>
    <row r="860" spans="1:7" ht="15.75" customHeight="1" x14ac:dyDescent="0.35">
      <c r="A860" s="4"/>
      <c r="B860" s="4"/>
      <c r="C860" s="4"/>
      <c r="D860" s="4"/>
      <c r="E860" s="4"/>
      <c r="F860" s="4"/>
      <c r="G860" s="4"/>
    </row>
    <row r="861" spans="1:7" ht="15.75" customHeight="1" x14ac:dyDescent="0.35">
      <c r="A861" s="4"/>
      <c r="B861" s="4"/>
      <c r="C861" s="4"/>
      <c r="D861" s="4"/>
      <c r="E861" s="4"/>
      <c r="F861" s="4"/>
      <c r="G861" s="4"/>
    </row>
    <row r="862" spans="1:7" ht="15.75" customHeight="1" x14ac:dyDescent="0.35">
      <c r="A862" s="4"/>
      <c r="B862" s="4"/>
      <c r="C862" s="4"/>
      <c r="D862" s="4"/>
      <c r="E862" s="4"/>
      <c r="F862" s="4"/>
      <c r="G862" s="4"/>
    </row>
    <row r="863" spans="1:7" ht="15.75" customHeight="1" x14ac:dyDescent="0.35">
      <c r="A863" s="4"/>
      <c r="B863" s="4"/>
      <c r="C863" s="4"/>
      <c r="D863" s="4"/>
      <c r="E863" s="4"/>
      <c r="F863" s="4"/>
      <c r="G863" s="4"/>
    </row>
    <row r="864" spans="1:7" ht="15.75" customHeight="1" x14ac:dyDescent="0.35">
      <c r="A864" s="4"/>
      <c r="B864" s="4"/>
      <c r="C864" s="4"/>
      <c r="D864" s="4"/>
      <c r="E864" s="4"/>
      <c r="F864" s="4"/>
      <c r="G864" s="4"/>
    </row>
    <row r="865" spans="1:7" ht="15.75" customHeight="1" x14ac:dyDescent="0.35">
      <c r="A865" s="4"/>
      <c r="B865" s="4"/>
      <c r="C865" s="4"/>
      <c r="D865" s="4"/>
      <c r="E865" s="4"/>
      <c r="F865" s="4"/>
      <c r="G865" s="4"/>
    </row>
    <row r="866" spans="1:7" ht="15.75" customHeight="1" x14ac:dyDescent="0.35">
      <c r="A866" s="4"/>
      <c r="B866" s="4"/>
      <c r="C866" s="4"/>
      <c r="D866" s="4"/>
      <c r="E866" s="4"/>
      <c r="F866" s="4"/>
      <c r="G866" s="4"/>
    </row>
    <row r="867" spans="1:7" ht="15.75" customHeight="1" x14ac:dyDescent="0.35">
      <c r="A867" s="4"/>
      <c r="B867" s="4"/>
      <c r="C867" s="4"/>
      <c r="D867" s="4"/>
      <c r="E867" s="4"/>
      <c r="F867" s="4"/>
      <c r="G867" s="4"/>
    </row>
    <row r="868" spans="1:7" ht="15.75" customHeight="1" x14ac:dyDescent="0.35">
      <c r="A868" s="4"/>
      <c r="B868" s="4"/>
      <c r="C868" s="4"/>
      <c r="D868" s="4"/>
      <c r="E868" s="4"/>
      <c r="F868" s="4"/>
      <c r="G868" s="4"/>
    </row>
    <row r="869" spans="1:7" ht="15.75" customHeight="1" x14ac:dyDescent="0.35">
      <c r="A869" s="4"/>
      <c r="B869" s="4"/>
      <c r="C869" s="4"/>
      <c r="D869" s="4"/>
      <c r="E869" s="4"/>
      <c r="F869" s="4"/>
      <c r="G869" s="4"/>
    </row>
    <row r="870" spans="1:7" ht="15.75" customHeight="1" x14ac:dyDescent="0.35">
      <c r="A870" s="4"/>
      <c r="B870" s="4"/>
      <c r="C870" s="4"/>
      <c r="D870" s="4"/>
      <c r="E870" s="4"/>
      <c r="F870" s="4"/>
      <c r="G870" s="4"/>
    </row>
    <row r="871" spans="1:7" ht="15.75" customHeight="1" x14ac:dyDescent="0.35">
      <c r="A871" s="4"/>
      <c r="B871" s="4"/>
      <c r="C871" s="4"/>
      <c r="D871" s="4"/>
      <c r="E871" s="4"/>
      <c r="F871" s="4"/>
      <c r="G871" s="4"/>
    </row>
    <row r="872" spans="1:7" ht="15.75" customHeight="1" x14ac:dyDescent="0.35">
      <c r="A872" s="4"/>
      <c r="B872" s="4"/>
      <c r="C872" s="4"/>
      <c r="D872" s="4"/>
      <c r="E872" s="4"/>
      <c r="F872" s="4"/>
      <c r="G872" s="4"/>
    </row>
    <row r="873" spans="1:7" ht="15.75" customHeight="1" x14ac:dyDescent="0.35">
      <c r="A873" s="4"/>
      <c r="B873" s="4"/>
      <c r="C873" s="4"/>
      <c r="D873" s="4"/>
      <c r="E873" s="4"/>
      <c r="F873" s="4"/>
      <c r="G873" s="4"/>
    </row>
    <row r="874" spans="1:7" ht="15.75" customHeight="1" x14ac:dyDescent="0.35">
      <c r="A874" s="4"/>
      <c r="B874" s="4"/>
      <c r="C874" s="4"/>
      <c r="D874" s="4"/>
      <c r="E874" s="4"/>
      <c r="F874" s="4"/>
      <c r="G874" s="4"/>
    </row>
    <row r="875" spans="1:7" ht="15.75" customHeight="1" x14ac:dyDescent="0.35">
      <c r="A875" s="4"/>
      <c r="B875" s="4"/>
      <c r="C875" s="4"/>
      <c r="D875" s="4"/>
      <c r="E875" s="4"/>
      <c r="F875" s="4"/>
      <c r="G875" s="4"/>
    </row>
    <row r="876" spans="1:7" ht="15.75" customHeight="1" x14ac:dyDescent="0.35">
      <c r="A876" s="4"/>
      <c r="B876" s="4"/>
      <c r="C876" s="4"/>
      <c r="D876" s="4"/>
      <c r="E876" s="4"/>
      <c r="F876" s="4"/>
      <c r="G876" s="4"/>
    </row>
    <row r="877" spans="1:7" ht="15.75" customHeight="1" x14ac:dyDescent="0.35">
      <c r="A877" s="4"/>
      <c r="B877" s="4"/>
      <c r="C877" s="4"/>
      <c r="D877" s="4"/>
      <c r="E877" s="4"/>
      <c r="F877" s="4"/>
      <c r="G877" s="4"/>
    </row>
    <row r="878" spans="1:7" ht="15.75" customHeight="1" x14ac:dyDescent="0.35">
      <c r="A878" s="4"/>
      <c r="B878" s="4"/>
      <c r="C878" s="4"/>
      <c r="D878" s="4"/>
      <c r="E878" s="4"/>
      <c r="F878" s="4"/>
      <c r="G878" s="4"/>
    </row>
    <row r="879" spans="1:7" ht="15.75" customHeight="1" x14ac:dyDescent="0.35">
      <c r="A879" s="4"/>
      <c r="B879" s="4"/>
      <c r="C879" s="4"/>
      <c r="D879" s="4"/>
      <c r="E879" s="4"/>
      <c r="F879" s="4"/>
      <c r="G879" s="4"/>
    </row>
    <row r="880" spans="1:7" ht="15.75" customHeight="1" x14ac:dyDescent="0.35">
      <c r="A880" s="4"/>
      <c r="B880" s="4"/>
      <c r="C880" s="4"/>
      <c r="D880" s="4"/>
      <c r="E880" s="4"/>
      <c r="F880" s="4"/>
      <c r="G880" s="4"/>
    </row>
    <row r="881" spans="1:7" ht="15.75" customHeight="1" x14ac:dyDescent="0.35">
      <c r="A881" s="4"/>
      <c r="B881" s="4"/>
      <c r="C881" s="4"/>
      <c r="D881" s="4"/>
      <c r="E881" s="4"/>
      <c r="F881" s="4"/>
      <c r="G881" s="4"/>
    </row>
    <row r="882" spans="1:7" ht="15.75" customHeight="1" x14ac:dyDescent="0.35">
      <c r="A882" s="4"/>
      <c r="B882" s="4"/>
      <c r="C882" s="4"/>
      <c r="D882" s="4"/>
      <c r="E882" s="4"/>
      <c r="F882" s="4"/>
      <c r="G882" s="4"/>
    </row>
    <row r="883" spans="1:7" ht="15.75" customHeight="1" x14ac:dyDescent="0.35">
      <c r="A883" s="4"/>
      <c r="B883" s="4"/>
      <c r="C883" s="4"/>
      <c r="D883" s="4"/>
      <c r="E883" s="4"/>
      <c r="F883" s="4"/>
      <c r="G883" s="4"/>
    </row>
    <row r="884" spans="1:7" ht="15.75" customHeight="1" x14ac:dyDescent="0.35">
      <c r="A884" s="4"/>
      <c r="B884" s="4"/>
      <c r="C884" s="4"/>
      <c r="D884" s="4"/>
      <c r="E884" s="4"/>
      <c r="F884" s="4"/>
      <c r="G884" s="4"/>
    </row>
    <row r="885" spans="1:7" ht="15.75" customHeight="1" x14ac:dyDescent="0.35">
      <c r="A885" s="4"/>
      <c r="B885" s="4"/>
      <c r="C885" s="4"/>
      <c r="D885" s="4"/>
      <c r="E885" s="4"/>
      <c r="F885" s="4"/>
      <c r="G885" s="4"/>
    </row>
    <row r="886" spans="1:7" ht="15.75" customHeight="1" x14ac:dyDescent="0.35">
      <c r="A886" s="4"/>
      <c r="B886" s="4"/>
      <c r="C886" s="4"/>
      <c r="D886" s="4"/>
      <c r="E886" s="4"/>
      <c r="F886" s="4"/>
      <c r="G886" s="4"/>
    </row>
    <row r="887" spans="1:7" ht="15.75" customHeight="1" x14ac:dyDescent="0.35">
      <c r="A887" s="4"/>
      <c r="B887" s="4"/>
      <c r="C887" s="4"/>
      <c r="D887" s="4"/>
      <c r="E887" s="4"/>
      <c r="F887" s="4"/>
      <c r="G887" s="4"/>
    </row>
    <row r="888" spans="1:7" ht="15.75" customHeight="1" x14ac:dyDescent="0.35">
      <c r="A888" s="4"/>
      <c r="B888" s="4"/>
      <c r="C888" s="4"/>
      <c r="D888" s="4"/>
      <c r="E888" s="4"/>
      <c r="F888" s="4"/>
      <c r="G888" s="4"/>
    </row>
    <row r="889" spans="1:7" ht="15.75" customHeight="1" x14ac:dyDescent="0.35">
      <c r="A889" s="4"/>
      <c r="B889" s="4"/>
      <c r="C889" s="4"/>
      <c r="D889" s="4"/>
      <c r="E889" s="4"/>
      <c r="F889" s="4"/>
      <c r="G889" s="4"/>
    </row>
    <row r="890" spans="1:7" ht="15.75" customHeight="1" x14ac:dyDescent="0.35">
      <c r="A890" s="4"/>
      <c r="B890" s="4"/>
      <c r="C890" s="4"/>
      <c r="D890" s="4"/>
      <c r="E890" s="4"/>
      <c r="F890" s="4"/>
      <c r="G890" s="4"/>
    </row>
    <row r="891" spans="1:7" ht="15.75" customHeight="1" x14ac:dyDescent="0.35">
      <c r="A891" s="4"/>
      <c r="B891" s="4"/>
      <c r="C891" s="4"/>
      <c r="D891" s="4"/>
      <c r="E891" s="4"/>
      <c r="F891" s="4"/>
      <c r="G891" s="4"/>
    </row>
    <row r="892" spans="1:7" ht="15.75" customHeight="1" x14ac:dyDescent="0.35">
      <c r="A892" s="4"/>
      <c r="B892" s="4"/>
      <c r="C892" s="4"/>
      <c r="D892" s="4"/>
      <c r="E892" s="4"/>
      <c r="F892" s="4"/>
      <c r="G892" s="4"/>
    </row>
    <row r="893" spans="1:7" ht="15.75" customHeight="1" x14ac:dyDescent="0.35">
      <c r="A893" s="4"/>
      <c r="B893" s="4"/>
      <c r="C893" s="4"/>
      <c r="D893" s="4"/>
      <c r="E893" s="4"/>
      <c r="F893" s="4"/>
      <c r="G893" s="4"/>
    </row>
    <row r="894" spans="1:7" ht="15.75" customHeight="1" x14ac:dyDescent="0.35">
      <c r="A894" s="4"/>
      <c r="B894" s="4"/>
      <c r="C894" s="4"/>
      <c r="D894" s="4"/>
      <c r="E894" s="4"/>
      <c r="F894" s="4"/>
      <c r="G894" s="4"/>
    </row>
    <row r="895" spans="1:7" ht="15.75" customHeight="1" x14ac:dyDescent="0.35">
      <c r="A895" s="4"/>
      <c r="B895" s="4"/>
      <c r="C895" s="4"/>
      <c r="D895" s="4"/>
      <c r="E895" s="4"/>
      <c r="F895" s="4"/>
      <c r="G895" s="4"/>
    </row>
    <row r="896" spans="1:7" ht="15.75" customHeight="1" x14ac:dyDescent="0.35">
      <c r="A896" s="4"/>
      <c r="B896" s="4"/>
      <c r="C896" s="4"/>
      <c r="D896" s="4"/>
      <c r="E896" s="4"/>
      <c r="F896" s="4"/>
      <c r="G896" s="4"/>
    </row>
    <row r="897" spans="1:7" ht="15.75" customHeight="1" x14ac:dyDescent="0.35">
      <c r="A897" s="4"/>
      <c r="B897" s="4"/>
      <c r="C897" s="4"/>
      <c r="D897" s="4"/>
      <c r="E897" s="4"/>
      <c r="F897" s="4"/>
      <c r="G897" s="4"/>
    </row>
    <row r="898" spans="1:7" ht="15.75" customHeight="1" x14ac:dyDescent="0.35">
      <c r="A898" s="4"/>
      <c r="B898" s="4"/>
      <c r="C898" s="4"/>
      <c r="D898" s="4"/>
      <c r="E898" s="4"/>
      <c r="F898" s="4"/>
      <c r="G898" s="4"/>
    </row>
    <row r="899" spans="1:7" ht="15.75" customHeight="1" x14ac:dyDescent="0.35">
      <c r="A899" s="4"/>
      <c r="B899" s="4"/>
      <c r="C899" s="4"/>
      <c r="D899" s="4"/>
      <c r="E899" s="4"/>
      <c r="F899" s="4"/>
      <c r="G899" s="4"/>
    </row>
    <row r="900" spans="1:7" ht="15.75" customHeight="1" x14ac:dyDescent="0.35">
      <c r="A900" s="4"/>
      <c r="B900" s="4"/>
      <c r="C900" s="4"/>
      <c r="D900" s="4"/>
      <c r="E900" s="4"/>
      <c r="F900" s="4"/>
      <c r="G900" s="4"/>
    </row>
    <row r="901" spans="1:7" ht="15.75" customHeight="1" x14ac:dyDescent="0.35">
      <c r="A901" s="4"/>
      <c r="B901" s="4"/>
      <c r="C901" s="4"/>
      <c r="D901" s="4"/>
      <c r="E901" s="4"/>
      <c r="F901" s="4"/>
      <c r="G901" s="4"/>
    </row>
    <row r="902" spans="1:7" ht="15.75" customHeight="1" x14ac:dyDescent="0.35">
      <c r="A902" s="4"/>
      <c r="B902" s="4"/>
      <c r="C902" s="4"/>
      <c r="D902" s="4"/>
      <c r="E902" s="4"/>
      <c r="F902" s="4"/>
      <c r="G902" s="4"/>
    </row>
    <row r="903" spans="1:7" ht="15.75" customHeight="1" x14ac:dyDescent="0.35">
      <c r="A903" s="4"/>
      <c r="B903" s="4"/>
      <c r="C903" s="4"/>
      <c r="D903" s="4"/>
      <c r="E903" s="4"/>
      <c r="F903" s="4"/>
      <c r="G903" s="4"/>
    </row>
    <row r="904" spans="1:7" ht="15.75" customHeight="1" x14ac:dyDescent="0.35">
      <c r="A904" s="4"/>
      <c r="B904" s="4"/>
      <c r="C904" s="4"/>
      <c r="D904" s="4"/>
      <c r="E904" s="4"/>
      <c r="F904" s="4"/>
      <c r="G904" s="4"/>
    </row>
    <row r="905" spans="1:7" ht="15.75" customHeight="1" x14ac:dyDescent="0.35">
      <c r="A905" s="4"/>
      <c r="B905" s="4"/>
      <c r="C905" s="4"/>
      <c r="D905" s="4"/>
      <c r="E905" s="4"/>
      <c r="F905" s="4"/>
      <c r="G905" s="4"/>
    </row>
    <row r="906" spans="1:7" ht="15.75" customHeight="1" x14ac:dyDescent="0.35">
      <c r="A906" s="4"/>
      <c r="B906" s="4"/>
      <c r="C906" s="4"/>
      <c r="D906" s="4"/>
      <c r="E906" s="4"/>
      <c r="F906" s="4"/>
      <c r="G906" s="4"/>
    </row>
    <row r="907" spans="1:7" ht="15.75" customHeight="1" x14ac:dyDescent="0.35">
      <c r="A907" s="4"/>
      <c r="B907" s="4"/>
      <c r="C907" s="4"/>
      <c r="D907" s="4"/>
      <c r="E907" s="4"/>
      <c r="F907" s="4"/>
      <c r="G907" s="4"/>
    </row>
    <row r="908" spans="1:7" ht="15.75" customHeight="1" x14ac:dyDescent="0.35">
      <c r="A908" s="4"/>
      <c r="B908" s="4"/>
      <c r="C908" s="4"/>
      <c r="D908" s="4"/>
      <c r="E908" s="4"/>
      <c r="F908" s="4"/>
      <c r="G908" s="4"/>
    </row>
    <row r="909" spans="1:7" ht="15.75" customHeight="1" x14ac:dyDescent="0.35">
      <c r="A909" s="4"/>
      <c r="B909" s="4"/>
      <c r="C909" s="4"/>
      <c r="D909" s="4"/>
      <c r="E909" s="4"/>
      <c r="F909" s="4"/>
      <c r="G909" s="4"/>
    </row>
    <row r="910" spans="1:7" ht="15.75" customHeight="1" x14ac:dyDescent="0.35">
      <c r="A910" s="4"/>
      <c r="B910" s="4"/>
      <c r="C910" s="4"/>
      <c r="D910" s="4"/>
      <c r="E910" s="4"/>
      <c r="F910" s="4"/>
      <c r="G910" s="4"/>
    </row>
    <row r="911" spans="1:7" ht="15.75" customHeight="1" x14ac:dyDescent="0.35">
      <c r="A911" s="4"/>
      <c r="B911" s="4"/>
      <c r="C911" s="4"/>
      <c r="D911" s="4"/>
      <c r="E911" s="4"/>
      <c r="F911" s="4"/>
      <c r="G911" s="4"/>
    </row>
    <row r="912" spans="1:7" ht="15.75" customHeight="1" x14ac:dyDescent="0.35">
      <c r="A912" s="4"/>
      <c r="B912" s="4"/>
      <c r="C912" s="4"/>
      <c r="D912" s="4"/>
      <c r="E912" s="4"/>
      <c r="F912" s="4"/>
      <c r="G912" s="4"/>
    </row>
    <row r="913" spans="1:7" ht="15.75" customHeight="1" x14ac:dyDescent="0.35">
      <c r="A913" s="4"/>
      <c r="B913" s="4"/>
      <c r="C913" s="4"/>
      <c r="D913" s="4"/>
      <c r="E913" s="4"/>
      <c r="F913" s="4"/>
      <c r="G913" s="4"/>
    </row>
    <row r="914" spans="1:7" ht="15.75" customHeight="1" x14ac:dyDescent="0.35">
      <c r="A914" s="4"/>
      <c r="B914" s="4"/>
      <c r="C914" s="4"/>
      <c r="D914" s="4"/>
      <c r="E914" s="4"/>
      <c r="F914" s="4"/>
      <c r="G914" s="4"/>
    </row>
    <row r="915" spans="1:7" ht="15.75" customHeight="1" x14ac:dyDescent="0.35">
      <c r="A915" s="4"/>
      <c r="B915" s="4"/>
      <c r="C915" s="4"/>
      <c r="D915" s="4"/>
      <c r="E915" s="4"/>
      <c r="F915" s="4"/>
      <c r="G915" s="4"/>
    </row>
    <row r="916" spans="1:7" ht="15.75" customHeight="1" x14ac:dyDescent="0.35">
      <c r="A916" s="4"/>
      <c r="B916" s="4"/>
      <c r="C916" s="4"/>
      <c r="D916" s="4"/>
      <c r="E916" s="4"/>
      <c r="F916" s="4"/>
      <c r="G916" s="4"/>
    </row>
    <row r="917" spans="1:7" ht="15.75" customHeight="1" x14ac:dyDescent="0.35">
      <c r="A917" s="4"/>
      <c r="B917" s="4"/>
      <c r="C917" s="4"/>
      <c r="D917" s="4"/>
      <c r="E917" s="4"/>
      <c r="F917" s="4"/>
      <c r="G917" s="4"/>
    </row>
    <row r="918" spans="1:7" ht="15.75" customHeight="1" x14ac:dyDescent="0.35">
      <c r="A918" s="4"/>
      <c r="B918" s="4"/>
      <c r="C918" s="4"/>
      <c r="D918" s="4"/>
      <c r="E918" s="4"/>
      <c r="F918" s="4"/>
      <c r="G918" s="4"/>
    </row>
    <row r="919" spans="1:7" ht="15.75" customHeight="1" x14ac:dyDescent="0.35">
      <c r="A919" s="4"/>
      <c r="B919" s="4"/>
      <c r="C919" s="4"/>
      <c r="D919" s="4"/>
      <c r="E919" s="4"/>
      <c r="F919" s="4"/>
      <c r="G919" s="4"/>
    </row>
    <row r="920" spans="1:7" ht="15.75" customHeight="1" x14ac:dyDescent="0.35">
      <c r="A920" s="4"/>
      <c r="B920" s="4"/>
      <c r="C920" s="4"/>
      <c r="D920" s="4"/>
      <c r="E920" s="4"/>
      <c r="F920" s="4"/>
      <c r="G920" s="4"/>
    </row>
    <row r="921" spans="1:7" ht="15.75" customHeight="1" x14ac:dyDescent="0.35">
      <c r="A921" s="4"/>
      <c r="B921" s="4"/>
      <c r="C921" s="4"/>
      <c r="D921" s="4"/>
      <c r="E921" s="4"/>
      <c r="F921" s="4"/>
      <c r="G921" s="4"/>
    </row>
    <row r="922" spans="1:7" ht="15.75" customHeight="1" x14ac:dyDescent="0.35">
      <c r="A922" s="4"/>
      <c r="B922" s="4"/>
      <c r="C922" s="4"/>
      <c r="D922" s="4"/>
      <c r="E922" s="4"/>
      <c r="F922" s="4"/>
      <c r="G922" s="4"/>
    </row>
    <row r="923" spans="1:7" ht="15.75" customHeight="1" x14ac:dyDescent="0.35">
      <c r="A923" s="4"/>
      <c r="B923" s="4"/>
      <c r="C923" s="4"/>
      <c r="D923" s="4"/>
      <c r="E923" s="4"/>
      <c r="F923" s="4"/>
      <c r="G923" s="4"/>
    </row>
    <row r="924" spans="1:7" ht="15.75" customHeight="1" x14ac:dyDescent="0.35">
      <c r="A924" s="4"/>
      <c r="B924" s="4"/>
      <c r="C924" s="4"/>
      <c r="D924" s="4"/>
      <c r="E924" s="4"/>
      <c r="F924" s="4"/>
      <c r="G924" s="4"/>
    </row>
    <row r="925" spans="1:7" ht="15.75" customHeight="1" x14ac:dyDescent="0.35">
      <c r="A925" s="4"/>
      <c r="B925" s="4"/>
      <c r="C925" s="4"/>
      <c r="D925" s="4"/>
      <c r="E925" s="4"/>
      <c r="F925" s="4"/>
      <c r="G925" s="4"/>
    </row>
    <row r="926" spans="1:7" ht="15.75" customHeight="1" x14ac:dyDescent="0.35">
      <c r="A926" s="4"/>
      <c r="B926" s="4"/>
      <c r="C926" s="4"/>
      <c r="D926" s="4"/>
      <c r="E926" s="4"/>
      <c r="F926" s="4"/>
      <c r="G926" s="4"/>
    </row>
    <row r="927" spans="1:7" ht="15.75" customHeight="1" x14ac:dyDescent="0.35">
      <c r="A927" s="4"/>
      <c r="B927" s="4"/>
      <c r="C927" s="4"/>
      <c r="D927" s="4"/>
      <c r="E927" s="4"/>
      <c r="F927" s="4"/>
      <c r="G927" s="4"/>
    </row>
    <row r="928" spans="1:7" ht="15.75" customHeight="1" x14ac:dyDescent="0.35">
      <c r="A928" s="4"/>
      <c r="B928" s="4"/>
      <c r="C928" s="4"/>
      <c r="D928" s="4"/>
      <c r="E928" s="4"/>
      <c r="F928" s="4"/>
      <c r="G928" s="4"/>
    </row>
    <row r="929" spans="1:7" ht="15.75" customHeight="1" x14ac:dyDescent="0.35">
      <c r="A929" s="4"/>
      <c r="B929" s="4"/>
      <c r="C929" s="4"/>
      <c r="D929" s="4"/>
      <c r="E929" s="4"/>
      <c r="F929" s="4"/>
      <c r="G929" s="4"/>
    </row>
    <row r="930" spans="1:7" ht="15.75" customHeight="1" x14ac:dyDescent="0.35">
      <c r="A930" s="4"/>
      <c r="B930" s="4"/>
      <c r="C930" s="4"/>
      <c r="D930" s="4"/>
      <c r="E930" s="4"/>
      <c r="F930" s="4"/>
      <c r="G930" s="4"/>
    </row>
    <row r="931" spans="1:7" ht="15.75" customHeight="1" x14ac:dyDescent="0.35">
      <c r="A931" s="4"/>
      <c r="B931" s="4"/>
      <c r="C931" s="4"/>
      <c r="D931" s="4"/>
      <c r="E931" s="4"/>
      <c r="F931" s="4"/>
      <c r="G931" s="4"/>
    </row>
    <row r="932" spans="1:7" ht="15.75" customHeight="1" x14ac:dyDescent="0.35">
      <c r="A932" s="4"/>
      <c r="B932" s="4"/>
      <c r="C932" s="4"/>
      <c r="D932" s="4"/>
      <c r="E932" s="4"/>
      <c r="F932" s="4"/>
      <c r="G932" s="4"/>
    </row>
    <row r="933" spans="1:7" ht="15.75" customHeight="1" x14ac:dyDescent="0.35">
      <c r="A933" s="4"/>
      <c r="B933" s="4"/>
      <c r="C933" s="4"/>
      <c r="D933" s="4"/>
      <c r="E933" s="4"/>
      <c r="F933" s="4"/>
      <c r="G933" s="4"/>
    </row>
    <row r="934" spans="1:7" ht="15.75" customHeight="1" x14ac:dyDescent="0.35">
      <c r="A934" s="4"/>
      <c r="B934" s="4"/>
      <c r="C934" s="4"/>
      <c r="D934" s="4"/>
      <c r="E934" s="4"/>
      <c r="F934" s="4"/>
      <c r="G934" s="4"/>
    </row>
    <row r="935" spans="1:7" ht="15.75" customHeight="1" x14ac:dyDescent="0.35">
      <c r="A935" s="4"/>
      <c r="B935" s="4"/>
      <c r="C935" s="4"/>
      <c r="D935" s="4"/>
      <c r="E935" s="4"/>
      <c r="F935" s="4"/>
      <c r="G935" s="4"/>
    </row>
    <row r="936" spans="1:7" ht="15.75" customHeight="1" x14ac:dyDescent="0.35">
      <c r="A936" s="4"/>
      <c r="B936" s="4"/>
      <c r="C936" s="4"/>
      <c r="D936" s="4"/>
      <c r="E936" s="4"/>
      <c r="F936" s="4"/>
      <c r="G936" s="4"/>
    </row>
    <row r="937" spans="1:7" ht="15.75" customHeight="1" x14ac:dyDescent="0.35">
      <c r="A937" s="4"/>
      <c r="B937" s="4"/>
      <c r="C937" s="4"/>
      <c r="D937" s="4"/>
      <c r="E937" s="4"/>
      <c r="F937" s="4"/>
      <c r="G937" s="4"/>
    </row>
    <row r="938" spans="1:7" ht="15.75" customHeight="1" x14ac:dyDescent="0.35">
      <c r="A938" s="4"/>
      <c r="B938" s="4"/>
      <c r="C938" s="4"/>
      <c r="D938" s="4"/>
      <c r="E938" s="4"/>
      <c r="F938" s="4"/>
      <c r="G938" s="4"/>
    </row>
    <row r="939" spans="1:7" ht="15.75" customHeight="1" x14ac:dyDescent="0.35">
      <c r="A939" s="4"/>
      <c r="B939" s="4"/>
      <c r="C939" s="4"/>
      <c r="D939" s="4"/>
      <c r="E939" s="4"/>
      <c r="F939" s="4"/>
      <c r="G939" s="4"/>
    </row>
    <row r="940" spans="1:7" ht="15.75" customHeight="1" x14ac:dyDescent="0.35">
      <c r="A940" s="4"/>
      <c r="B940" s="4"/>
      <c r="C940" s="4"/>
      <c r="D940" s="4"/>
      <c r="E940" s="4"/>
      <c r="F940" s="4"/>
      <c r="G940" s="4"/>
    </row>
    <row r="941" spans="1:7" ht="15.75" customHeight="1" x14ac:dyDescent="0.35">
      <c r="A941" s="4"/>
      <c r="B941" s="4"/>
      <c r="C941" s="4"/>
      <c r="D941" s="4"/>
      <c r="E941" s="4"/>
      <c r="F941" s="4"/>
      <c r="G941" s="4"/>
    </row>
    <row r="942" spans="1:7" ht="15.75" customHeight="1" x14ac:dyDescent="0.35">
      <c r="A942" s="4"/>
      <c r="B942" s="4"/>
      <c r="C942" s="4"/>
      <c r="D942" s="4"/>
      <c r="E942" s="4"/>
      <c r="F942" s="4"/>
      <c r="G942" s="4"/>
    </row>
    <row r="943" spans="1:7" ht="15.75" customHeight="1" x14ac:dyDescent="0.35">
      <c r="A943" s="4"/>
      <c r="B943" s="4"/>
      <c r="C943" s="4"/>
      <c r="D943" s="4"/>
      <c r="E943" s="4"/>
      <c r="F943" s="4"/>
      <c r="G943" s="4"/>
    </row>
    <row r="944" spans="1:7" ht="15.75" customHeight="1" x14ac:dyDescent="0.35">
      <c r="A944" s="4"/>
      <c r="B944" s="4"/>
      <c r="C944" s="4"/>
      <c r="D944" s="4"/>
      <c r="E944" s="4"/>
      <c r="F944" s="4"/>
      <c r="G944" s="4"/>
    </row>
    <row r="945" spans="1:7" ht="15.75" customHeight="1" x14ac:dyDescent="0.35">
      <c r="A945" s="4"/>
      <c r="B945" s="4"/>
      <c r="C945" s="4"/>
      <c r="D945" s="4"/>
      <c r="E945" s="4"/>
      <c r="F945" s="4"/>
      <c r="G945" s="4"/>
    </row>
    <row r="946" spans="1:7" ht="15.75" customHeight="1" x14ac:dyDescent="0.35">
      <c r="A946" s="4"/>
      <c r="B946" s="4"/>
      <c r="C946" s="4"/>
      <c r="D946" s="4"/>
      <c r="E946" s="4"/>
      <c r="F946" s="4"/>
      <c r="G946" s="4"/>
    </row>
    <row r="947" spans="1:7" ht="15.75" customHeight="1" x14ac:dyDescent="0.35">
      <c r="A947" s="4"/>
      <c r="B947" s="4"/>
      <c r="C947" s="4"/>
      <c r="D947" s="4"/>
      <c r="E947" s="4"/>
      <c r="F947" s="4"/>
      <c r="G947" s="4"/>
    </row>
    <row r="948" spans="1:7" ht="15.75" customHeight="1" x14ac:dyDescent="0.35">
      <c r="A948" s="4"/>
      <c r="B948" s="4"/>
      <c r="C948" s="4"/>
      <c r="D948" s="4"/>
      <c r="E948" s="4"/>
      <c r="F948" s="4"/>
      <c r="G948" s="4"/>
    </row>
    <row r="949" spans="1:7" ht="15.75" customHeight="1" x14ac:dyDescent="0.35">
      <c r="A949" s="4"/>
      <c r="B949" s="4"/>
      <c r="C949" s="4"/>
      <c r="D949" s="4"/>
      <c r="E949" s="4"/>
      <c r="F949" s="4"/>
      <c r="G949" s="4"/>
    </row>
    <row r="950" spans="1:7" ht="15.75" customHeight="1" x14ac:dyDescent="0.35">
      <c r="A950" s="4"/>
      <c r="B950" s="4"/>
      <c r="C950" s="4"/>
      <c r="D950" s="4"/>
      <c r="E950" s="4"/>
      <c r="F950" s="4"/>
      <c r="G950" s="4"/>
    </row>
    <row r="951" spans="1:7" ht="15.75" customHeight="1" x14ac:dyDescent="0.35">
      <c r="A951" s="4"/>
      <c r="B951" s="4"/>
      <c r="C951" s="4"/>
      <c r="D951" s="4"/>
      <c r="E951" s="4"/>
      <c r="F951" s="4"/>
      <c r="G951" s="4"/>
    </row>
    <row r="952" spans="1:7" ht="15.75" customHeight="1" x14ac:dyDescent="0.35">
      <c r="A952" s="4"/>
      <c r="B952" s="4"/>
      <c r="C952" s="4"/>
      <c r="D952" s="4"/>
      <c r="E952" s="4"/>
      <c r="F952" s="4"/>
      <c r="G952" s="4"/>
    </row>
    <row r="953" spans="1:7" ht="15.75" customHeight="1" x14ac:dyDescent="0.35">
      <c r="A953" s="4"/>
      <c r="B953" s="4"/>
      <c r="C953" s="4"/>
      <c r="D953" s="4"/>
      <c r="E953" s="4"/>
      <c r="F953" s="4"/>
      <c r="G953" s="4"/>
    </row>
    <row r="954" spans="1:7" ht="15.75" customHeight="1" x14ac:dyDescent="0.35">
      <c r="A954" s="4"/>
      <c r="B954" s="4"/>
      <c r="C954" s="4"/>
      <c r="D954" s="4"/>
      <c r="E954" s="4"/>
      <c r="F954" s="4"/>
      <c r="G954" s="4"/>
    </row>
    <row r="955" spans="1:7" ht="15.75" customHeight="1" x14ac:dyDescent="0.35">
      <c r="A955" s="4"/>
      <c r="B955" s="4"/>
      <c r="C955" s="4"/>
      <c r="D955" s="4"/>
      <c r="E955" s="4"/>
      <c r="F955" s="4"/>
      <c r="G955" s="4"/>
    </row>
    <row r="956" spans="1:7" ht="15.75" customHeight="1" x14ac:dyDescent="0.35">
      <c r="A956" s="4"/>
      <c r="B956" s="4"/>
      <c r="C956" s="4"/>
      <c r="D956" s="4"/>
      <c r="E956" s="4"/>
      <c r="F956" s="4"/>
      <c r="G956" s="4"/>
    </row>
    <row r="957" spans="1:7" ht="15.75" customHeight="1" x14ac:dyDescent="0.35">
      <c r="A957" s="4"/>
      <c r="B957" s="4"/>
      <c r="C957" s="4"/>
      <c r="D957" s="4"/>
      <c r="E957" s="4"/>
      <c r="F957" s="4"/>
      <c r="G957" s="4"/>
    </row>
    <row r="958" spans="1:7" ht="15.75" customHeight="1" x14ac:dyDescent="0.35">
      <c r="A958" s="4"/>
      <c r="B958" s="4"/>
      <c r="C958" s="4"/>
      <c r="D958" s="4"/>
      <c r="E958" s="4"/>
      <c r="F958" s="4"/>
      <c r="G958" s="4"/>
    </row>
    <row r="959" spans="1:7" ht="15.75" customHeight="1" x14ac:dyDescent="0.35">
      <c r="A959" s="4"/>
      <c r="B959" s="4"/>
      <c r="C959" s="4"/>
      <c r="D959" s="4"/>
      <c r="E959" s="4"/>
      <c r="F959" s="4"/>
      <c r="G959" s="4"/>
    </row>
    <row r="960" spans="1:7" ht="15.75" customHeight="1" x14ac:dyDescent="0.35">
      <c r="A960" s="4"/>
      <c r="B960" s="4"/>
      <c r="C960" s="4"/>
      <c r="D960" s="4"/>
      <c r="E960" s="4"/>
      <c r="F960" s="4"/>
      <c r="G960" s="4"/>
    </row>
    <row r="961" spans="1:7" ht="15.75" customHeight="1" x14ac:dyDescent="0.35">
      <c r="A961" s="4"/>
      <c r="B961" s="4"/>
      <c r="C961" s="4"/>
      <c r="D961" s="4"/>
      <c r="E961" s="4"/>
      <c r="F961" s="4"/>
      <c r="G961" s="4"/>
    </row>
    <row r="962" spans="1:7" ht="15.75" customHeight="1" x14ac:dyDescent="0.35">
      <c r="A962" s="4"/>
      <c r="B962" s="4"/>
      <c r="C962" s="4"/>
      <c r="D962" s="4"/>
      <c r="E962" s="4"/>
      <c r="F962" s="4"/>
      <c r="G962" s="4"/>
    </row>
    <row r="963" spans="1:7" ht="15.75" customHeight="1" x14ac:dyDescent="0.35">
      <c r="A963" s="4"/>
      <c r="B963" s="4"/>
      <c r="C963" s="4"/>
      <c r="D963" s="4"/>
      <c r="E963" s="4"/>
      <c r="F963" s="4"/>
      <c r="G963" s="4"/>
    </row>
    <row r="964" spans="1:7" ht="15.75" customHeight="1" x14ac:dyDescent="0.35">
      <c r="A964" s="4"/>
      <c r="B964" s="4"/>
      <c r="C964" s="4"/>
      <c r="D964" s="4"/>
      <c r="E964" s="4"/>
      <c r="F964" s="4"/>
      <c r="G964" s="4"/>
    </row>
    <row r="965" spans="1:7" ht="15.75" customHeight="1" x14ac:dyDescent="0.35">
      <c r="A965" s="4"/>
      <c r="B965" s="4"/>
      <c r="C965" s="4"/>
      <c r="D965" s="4"/>
      <c r="E965" s="4"/>
      <c r="F965" s="4"/>
      <c r="G965" s="4"/>
    </row>
    <row r="966" spans="1:7" ht="15.75" customHeight="1" x14ac:dyDescent="0.35">
      <c r="A966" s="4"/>
      <c r="B966" s="4"/>
      <c r="C966" s="4"/>
      <c r="D966" s="4"/>
      <c r="E966" s="4"/>
      <c r="F966" s="4"/>
      <c r="G966" s="4"/>
    </row>
    <row r="967" spans="1:7" ht="15.75" customHeight="1" x14ac:dyDescent="0.35">
      <c r="A967" s="4"/>
      <c r="B967" s="4"/>
      <c r="C967" s="4"/>
      <c r="D967" s="4"/>
      <c r="E967" s="4"/>
      <c r="F967" s="4"/>
      <c r="G967" s="4"/>
    </row>
    <row r="968" spans="1:7" ht="15.75" customHeight="1" x14ac:dyDescent="0.35">
      <c r="A968" s="4"/>
      <c r="B968" s="4"/>
      <c r="C968" s="4"/>
      <c r="D968" s="4"/>
      <c r="E968" s="4"/>
      <c r="F968" s="4"/>
      <c r="G968" s="4"/>
    </row>
    <row r="969" spans="1:7" ht="15.75" customHeight="1" x14ac:dyDescent="0.35">
      <c r="A969" s="4"/>
      <c r="B969" s="4"/>
      <c r="C969" s="4"/>
      <c r="D969" s="4"/>
      <c r="E969" s="4"/>
      <c r="F969" s="4"/>
      <c r="G969" s="4"/>
    </row>
    <row r="970" spans="1:7" ht="15.75" customHeight="1" x14ac:dyDescent="0.35">
      <c r="A970" s="4"/>
      <c r="B970" s="4"/>
      <c r="C970" s="4"/>
      <c r="D970" s="4"/>
      <c r="E970" s="4"/>
      <c r="F970" s="4"/>
      <c r="G970" s="4"/>
    </row>
    <row r="971" spans="1:7" ht="15.75" customHeight="1" x14ac:dyDescent="0.35">
      <c r="A971" s="4"/>
      <c r="B971" s="4"/>
      <c r="C971" s="4"/>
      <c r="D971" s="4"/>
      <c r="E971" s="4"/>
      <c r="F971" s="4"/>
      <c r="G971" s="4"/>
    </row>
    <row r="972" spans="1:7" ht="15.75" customHeight="1" x14ac:dyDescent="0.35">
      <c r="A972" s="4"/>
      <c r="B972" s="4"/>
      <c r="C972" s="4"/>
      <c r="D972" s="4"/>
      <c r="E972" s="4"/>
      <c r="F972" s="4"/>
      <c r="G972" s="4"/>
    </row>
    <row r="973" spans="1:7" ht="15.75" customHeight="1" x14ac:dyDescent="0.35">
      <c r="A973" s="4"/>
      <c r="B973" s="4"/>
      <c r="C973" s="4"/>
      <c r="D973" s="4"/>
      <c r="E973" s="4"/>
      <c r="F973" s="4"/>
      <c r="G973" s="4"/>
    </row>
    <row r="974" spans="1:7" ht="15.75" customHeight="1" x14ac:dyDescent="0.35">
      <c r="A974" s="4"/>
      <c r="B974" s="4"/>
      <c r="C974" s="4"/>
      <c r="D974" s="4"/>
      <c r="E974" s="4"/>
      <c r="F974" s="4"/>
      <c r="G974" s="4"/>
    </row>
    <row r="975" spans="1:7" ht="15.75" customHeight="1" x14ac:dyDescent="0.35">
      <c r="A975" s="4"/>
      <c r="B975" s="4"/>
      <c r="C975" s="4"/>
      <c r="D975" s="4"/>
      <c r="E975" s="4"/>
      <c r="F975" s="4"/>
      <c r="G975" s="4"/>
    </row>
    <row r="976" spans="1:7" ht="15.75" customHeight="1" x14ac:dyDescent="0.35">
      <c r="A976" s="4"/>
      <c r="B976" s="4"/>
      <c r="C976" s="4"/>
      <c r="D976" s="4"/>
      <c r="E976" s="4"/>
      <c r="F976" s="4"/>
      <c r="G976" s="4"/>
    </row>
    <row r="977" spans="1:7" ht="15.75" customHeight="1" x14ac:dyDescent="0.35">
      <c r="A977" s="4"/>
      <c r="B977" s="4"/>
      <c r="C977" s="4"/>
      <c r="D977" s="4"/>
      <c r="E977" s="4"/>
      <c r="F977" s="4"/>
      <c r="G977" s="4"/>
    </row>
    <row r="978" spans="1:7" ht="15.75" customHeight="1" x14ac:dyDescent="0.35">
      <c r="A978" s="4"/>
      <c r="B978" s="4"/>
      <c r="C978" s="4"/>
      <c r="D978" s="4"/>
      <c r="E978" s="4"/>
      <c r="F978" s="4"/>
      <c r="G978" s="4"/>
    </row>
    <row r="979" spans="1:7" ht="15.75" customHeight="1" x14ac:dyDescent="0.35">
      <c r="A979" s="4"/>
      <c r="B979" s="4"/>
      <c r="C979" s="4"/>
      <c r="D979" s="4"/>
      <c r="E979" s="4"/>
      <c r="F979" s="4"/>
      <c r="G979" s="4"/>
    </row>
    <row r="980" spans="1:7" ht="15.75" customHeight="1" x14ac:dyDescent="0.35">
      <c r="A980" s="4"/>
      <c r="B980" s="4"/>
      <c r="C980" s="4"/>
      <c r="D980" s="4"/>
      <c r="E980" s="4"/>
      <c r="F980" s="4"/>
      <c r="G980" s="4"/>
    </row>
    <row r="981" spans="1:7" ht="15.75" customHeight="1" x14ac:dyDescent="0.35">
      <c r="A981" s="4"/>
      <c r="B981" s="4"/>
      <c r="C981" s="4"/>
      <c r="D981" s="4"/>
      <c r="E981" s="4"/>
      <c r="F981" s="4"/>
      <c r="G981" s="4"/>
    </row>
    <row r="982" spans="1:7" ht="15.75" customHeight="1" x14ac:dyDescent="0.35">
      <c r="A982" s="4"/>
      <c r="B982" s="4"/>
      <c r="C982" s="4"/>
      <c r="D982" s="4"/>
      <c r="E982" s="4"/>
      <c r="F982" s="4"/>
      <c r="G982" s="4"/>
    </row>
    <row r="983" spans="1:7" ht="15.75" customHeight="1" x14ac:dyDescent="0.35">
      <c r="A983" s="4"/>
      <c r="B983" s="4"/>
      <c r="C983" s="4"/>
      <c r="D983" s="4"/>
      <c r="E983" s="4"/>
      <c r="F983" s="4"/>
      <c r="G983" s="4"/>
    </row>
    <row r="984" spans="1:7" ht="15.75" customHeight="1" x14ac:dyDescent="0.35">
      <c r="A984" s="4"/>
      <c r="B984" s="4"/>
      <c r="C984" s="4"/>
      <c r="D984" s="4"/>
      <c r="E984" s="4"/>
      <c r="F984" s="4"/>
      <c r="G984" s="4"/>
    </row>
    <row r="985" spans="1:7" ht="15.75" customHeight="1" x14ac:dyDescent="0.35">
      <c r="A985" s="4"/>
      <c r="B985" s="4"/>
      <c r="C985" s="4"/>
      <c r="D985" s="4"/>
      <c r="E985" s="4"/>
      <c r="F985" s="4"/>
      <c r="G985" s="4"/>
    </row>
    <row r="986" spans="1:7" ht="15.75" customHeight="1" x14ac:dyDescent="0.35">
      <c r="A986" s="4"/>
      <c r="B986" s="4"/>
      <c r="C986" s="4"/>
      <c r="D986" s="4"/>
      <c r="E986" s="4"/>
      <c r="F986" s="4"/>
      <c r="G986" s="4"/>
    </row>
    <row r="987" spans="1:7" ht="15.75" customHeight="1" x14ac:dyDescent="0.35">
      <c r="A987" s="4"/>
      <c r="B987" s="4"/>
      <c r="C987" s="4"/>
      <c r="D987" s="4"/>
      <c r="E987" s="4"/>
      <c r="F987" s="4"/>
      <c r="G987" s="4"/>
    </row>
    <row r="988" spans="1:7" ht="15.75" customHeight="1" x14ac:dyDescent="0.35">
      <c r="A988" s="4"/>
      <c r="B988" s="4"/>
      <c r="C988" s="4"/>
      <c r="D988" s="4"/>
      <c r="E988" s="4"/>
      <c r="F988" s="4"/>
      <c r="G988" s="4"/>
    </row>
    <row r="989" spans="1:7" ht="15.75" customHeight="1" x14ac:dyDescent="0.35">
      <c r="A989" s="4"/>
      <c r="B989" s="4"/>
      <c r="C989" s="4"/>
      <c r="D989" s="4"/>
      <c r="E989" s="4"/>
      <c r="F989" s="4"/>
      <c r="G989" s="4"/>
    </row>
    <row r="990" spans="1:7" ht="15.75" customHeight="1" x14ac:dyDescent="0.35">
      <c r="A990" s="4"/>
      <c r="B990" s="4"/>
      <c r="C990" s="4"/>
      <c r="D990" s="4"/>
      <c r="E990" s="4"/>
      <c r="F990" s="4"/>
      <c r="G990" s="4"/>
    </row>
    <row r="991" spans="1:7" ht="15.75" customHeight="1" x14ac:dyDescent="0.35">
      <c r="A991" s="4"/>
      <c r="B991" s="4"/>
      <c r="C991" s="4"/>
      <c r="D991" s="4"/>
      <c r="E991" s="4"/>
      <c r="F991" s="4"/>
      <c r="G991" s="4"/>
    </row>
    <row r="992" spans="1:7" ht="15.75" customHeight="1" x14ac:dyDescent="0.35">
      <c r="A992" s="4"/>
      <c r="B992" s="4"/>
      <c r="C992" s="4"/>
      <c r="D992" s="4"/>
      <c r="E992" s="4"/>
      <c r="F992" s="4"/>
      <c r="G992" s="4"/>
    </row>
    <row r="993" spans="1:7" ht="15.75" customHeight="1" x14ac:dyDescent="0.35">
      <c r="A993" s="4"/>
      <c r="B993" s="4"/>
      <c r="C993" s="4"/>
      <c r="D993" s="4"/>
      <c r="E993" s="4"/>
      <c r="F993" s="4"/>
      <c r="G993" s="4"/>
    </row>
    <row r="994" spans="1:7" ht="15.75" customHeight="1" x14ac:dyDescent="0.35">
      <c r="A994" s="4"/>
      <c r="B994" s="4"/>
      <c r="C994" s="4"/>
      <c r="D994" s="4"/>
      <c r="E994" s="4"/>
      <c r="F994" s="4"/>
      <c r="G994" s="4"/>
    </row>
    <row r="995" spans="1:7" ht="15.75" customHeight="1" x14ac:dyDescent="0.35">
      <c r="A995" s="4"/>
      <c r="B995" s="4"/>
      <c r="C995" s="4"/>
      <c r="D995" s="4"/>
      <c r="E995" s="4"/>
      <c r="F995" s="4"/>
      <c r="G995" s="4"/>
    </row>
    <row r="996" spans="1:7" ht="15.75" customHeight="1" x14ac:dyDescent="0.35">
      <c r="A996" s="4"/>
      <c r="B996" s="4"/>
      <c r="C996" s="4"/>
      <c r="D996" s="4"/>
      <c r="E996" s="4"/>
      <c r="F996" s="4"/>
      <c r="G996" s="4"/>
    </row>
    <row r="997" spans="1:7" ht="15.75" customHeight="1" x14ac:dyDescent="0.35">
      <c r="A997" s="4"/>
      <c r="B997" s="4"/>
      <c r="C997" s="4"/>
      <c r="D997" s="4"/>
      <c r="E997" s="4"/>
      <c r="F997" s="4"/>
      <c r="G997" s="4"/>
    </row>
    <row r="998" spans="1:7" ht="15.75" customHeight="1" x14ac:dyDescent="0.35">
      <c r="A998" s="4"/>
      <c r="B998" s="4"/>
      <c r="C998" s="4"/>
      <c r="D998" s="4"/>
      <c r="E998" s="4"/>
      <c r="F998" s="4"/>
      <c r="G998" s="4"/>
    </row>
    <row r="999" spans="1:7" ht="15.75" customHeight="1" x14ac:dyDescent="0.35">
      <c r="A999" s="4"/>
      <c r="B999" s="4"/>
      <c r="C999" s="4"/>
      <c r="D999" s="4"/>
      <c r="E999" s="4"/>
      <c r="F999" s="4"/>
      <c r="G999" s="4"/>
    </row>
    <row r="1000" spans="1:7" ht="15.75" customHeight="1" x14ac:dyDescent="0.35">
      <c r="A1000" s="4"/>
      <c r="B1000" s="4"/>
      <c r="C1000" s="4"/>
      <c r="D1000" s="4"/>
      <c r="E1000" s="4"/>
      <c r="F1000" s="4"/>
      <c r="G1000" s="4"/>
    </row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1000"/>
  <sheetViews>
    <sheetView workbookViewId="0"/>
  </sheetViews>
  <sheetFormatPr baseColWidth="10" defaultColWidth="14.453125" defaultRowHeight="15" customHeight="1" x14ac:dyDescent="0.35"/>
  <cols>
    <col min="1" max="1" width="60" customWidth="1"/>
    <col min="2" max="2" width="18" customWidth="1"/>
    <col min="3" max="3" width="70" customWidth="1"/>
    <col min="4" max="61" width="8.7265625" customWidth="1"/>
  </cols>
  <sheetData>
    <row r="1" spans="1:3" ht="17.25" customHeight="1" x14ac:dyDescent="0.4">
      <c r="A1" s="1" t="s">
        <v>214</v>
      </c>
      <c r="B1" s="4"/>
      <c r="C1" s="4"/>
    </row>
    <row r="2" spans="1:3" ht="14.5" x14ac:dyDescent="0.35">
      <c r="A2" s="4"/>
      <c r="B2" s="4"/>
      <c r="C2" s="4"/>
    </row>
    <row r="3" spans="1:3" ht="15" customHeight="1" x14ac:dyDescent="0.35">
      <c r="A3" s="6" t="s">
        <v>215</v>
      </c>
      <c r="B3" s="6" t="s">
        <v>216</v>
      </c>
      <c r="C3" s="6" t="s">
        <v>217</v>
      </c>
    </row>
    <row r="4" spans="1:3" ht="15" customHeight="1" x14ac:dyDescent="0.35">
      <c r="A4" s="3" t="s">
        <v>218</v>
      </c>
      <c r="B4" s="35">
        <f>Supuestos!$B$60</f>
        <v>0.25</v>
      </c>
      <c r="C4" s="10" t="s">
        <v>219</v>
      </c>
    </row>
    <row r="5" spans="1:3" ht="15" customHeight="1" x14ac:dyDescent="0.35">
      <c r="A5" s="3" t="s">
        <v>220</v>
      </c>
      <c r="B5" s="26">
        <f>Anual!F39*(1+Supuestos!$B$61)/(Supuestos!$B$60-Supuestos!$B$61)</f>
        <v>1242254.3989623042</v>
      </c>
      <c r="C5" s="10" t="s">
        <v>222</v>
      </c>
    </row>
    <row r="6" spans="1:3" ht="15" customHeight="1" x14ac:dyDescent="0.35">
      <c r="A6" s="3" t="s">
        <v>223</v>
      </c>
      <c r="B6" s="26">
        <f t="array" ref="B6">NPV(Supuestos!$B$60,Anual!B39:F39)</f>
        <v>18221.282110645298</v>
      </c>
      <c r="C6" s="10" t="s">
        <v>225</v>
      </c>
    </row>
    <row r="7" spans="1:3" ht="15" customHeight="1" x14ac:dyDescent="0.35">
      <c r="A7" s="3" t="s">
        <v>226</v>
      </c>
      <c r="B7" s="33">
        <f>B6+B5/(1+Supuestos!$B$60)^5</f>
        <v>425283.20356261317</v>
      </c>
      <c r="C7" s="10" t="s">
        <v>228</v>
      </c>
    </row>
    <row r="8" spans="1:3" ht="15" customHeight="1" x14ac:dyDescent="0.35">
      <c r="A8" s="3" t="s">
        <v>229</v>
      </c>
      <c r="B8" s="35">
        <f>IFERROR(IRR(Anual!B39:F39),"No calculable")</f>
        <v>0.31162994146909795</v>
      </c>
      <c r="C8" s="10" t="s">
        <v>230</v>
      </c>
    </row>
    <row r="9" spans="1:3" ht="15" customHeight="1" x14ac:dyDescent="0.35">
      <c r="A9" s="3" t="s">
        <v>231</v>
      </c>
      <c r="B9" s="36">
        <f>IFERROR(IRR(B30:F30),"No calculable")</f>
        <v>0.98797779925668294</v>
      </c>
      <c r="C9" s="10" t="s">
        <v>232</v>
      </c>
    </row>
    <row r="10" spans="1:3" ht="15" customHeight="1" x14ac:dyDescent="0.35">
      <c r="A10" s="3" t="s">
        <v>233</v>
      </c>
      <c r="B10" s="37">
        <f>IF(Anual!F40&lt;0,"&gt; 5 años",IF(Anual!B40&gt;=0,1,IF(Anual!C40&gt;=0,1+(-Anual!B40)/Anual!C39,IF(Anual!D40&gt;=0,2+(-Anual!C40)/Anual!D39,IF(Anual!E40&gt;=0,3+(-Anual!D40)/Anual!E39,4+(-Anual!E40)/Anual!F39)))))</f>
        <v>4.2340794967352888</v>
      </c>
      <c r="C10" s="10" t="s">
        <v>236</v>
      </c>
    </row>
    <row r="11" spans="1:3" ht="15" customHeight="1" x14ac:dyDescent="0.35">
      <c r="A11" s="3" t="s">
        <v>237</v>
      </c>
      <c r="B11" s="38">
        <f>IFERROR(MATCH(1,Mensual!AH2:AH61,0),"No alcanzado")</f>
        <v>38</v>
      </c>
      <c r="C11" s="10" t="s">
        <v>238</v>
      </c>
    </row>
    <row r="12" spans="1:3" ht="15" customHeight="1" x14ac:dyDescent="0.35">
      <c r="A12" s="3" t="s">
        <v>239</v>
      </c>
      <c r="B12" s="23">
        <f t="array" ref="B12">IFERROR(INDEX(Mensual!E2:E61,B11),0)</f>
        <v>119.20624683266777</v>
      </c>
      <c r="C12" s="10" t="s">
        <v>240</v>
      </c>
    </row>
    <row r="13" spans="1:3" ht="15" customHeight="1" x14ac:dyDescent="0.35">
      <c r="A13" s="3" t="s">
        <v>241</v>
      </c>
      <c r="B13" s="26">
        <f>-MIN(B33:BI33)</f>
        <v>179253.67117514514</v>
      </c>
      <c r="C13" s="10" t="s">
        <v>242</v>
      </c>
    </row>
    <row r="14" spans="1:3" ht="15" customHeight="1" x14ac:dyDescent="0.35">
      <c r="A14" s="3" t="s">
        <v>243</v>
      </c>
      <c r="B14" s="26">
        <f>Supuestos!$B$50+Supuestos!$B$51+Supuestos!$B$56</f>
        <v>235000</v>
      </c>
      <c r="C14" s="10" t="s">
        <v>244</v>
      </c>
    </row>
    <row r="15" spans="1:3" ht="15" customHeight="1" x14ac:dyDescent="0.35">
      <c r="A15" s="3" t="s">
        <v>245</v>
      </c>
      <c r="B15" s="26">
        <f>MIN(Mensual!AF2:AF61)</f>
        <v>16860</v>
      </c>
      <c r="C15" s="10" t="s">
        <v>246</v>
      </c>
    </row>
    <row r="16" spans="1:3" ht="14.5" x14ac:dyDescent="0.35">
      <c r="A16" s="4"/>
      <c r="B16" s="4"/>
      <c r="C16" s="4"/>
    </row>
    <row r="17" spans="1:61" ht="15" customHeight="1" x14ac:dyDescent="0.35">
      <c r="A17" s="2" t="s">
        <v>248</v>
      </c>
      <c r="B17" s="4"/>
      <c r="C17" s="4"/>
    </row>
    <row r="18" spans="1:61" ht="15" customHeight="1" x14ac:dyDescent="0.35">
      <c r="A18" s="6" t="s">
        <v>249</v>
      </c>
      <c r="B18" s="6" t="s">
        <v>154</v>
      </c>
      <c r="C18" s="6" t="s">
        <v>250</v>
      </c>
    </row>
    <row r="19" spans="1:61" ht="15" customHeight="1" x14ac:dyDescent="0.35">
      <c r="A19" s="3" t="s">
        <v>251</v>
      </c>
      <c r="B19" s="32">
        <f>Supuestos!$B$50</f>
        <v>30000</v>
      </c>
      <c r="C19" s="3" t="s">
        <v>253</v>
      </c>
    </row>
    <row r="20" spans="1:61" ht="15" customHeight="1" x14ac:dyDescent="0.35">
      <c r="A20" s="3" t="s">
        <v>164</v>
      </c>
      <c r="B20" s="32">
        <f>Supuestos!$B$51</f>
        <v>30000</v>
      </c>
      <c r="C20" s="3" t="s">
        <v>254</v>
      </c>
    </row>
    <row r="21" spans="1:61" ht="15" customHeight="1" x14ac:dyDescent="0.35">
      <c r="A21" s="3" t="s">
        <v>255</v>
      </c>
      <c r="B21" s="32">
        <f>Supuestos!$B$56</f>
        <v>175000</v>
      </c>
      <c r="C21" s="3" t="s">
        <v>257</v>
      </c>
    </row>
    <row r="22" spans="1:61" ht="15" customHeight="1" x14ac:dyDescent="0.35">
      <c r="A22" s="2" t="s">
        <v>181</v>
      </c>
      <c r="B22" s="33">
        <f>SUM(B19:B21)</f>
        <v>235000</v>
      </c>
      <c r="C22" s="3"/>
    </row>
    <row r="23" spans="1:61" ht="15.75" customHeight="1" x14ac:dyDescent="0.35">
      <c r="A23" s="4"/>
      <c r="B23" s="4"/>
      <c r="C23" s="4"/>
    </row>
    <row r="24" spans="1:61" ht="15" customHeight="1" x14ac:dyDescent="0.35">
      <c r="A24" s="5" t="s">
        <v>258</v>
      </c>
      <c r="B24" s="4"/>
      <c r="C24" s="4"/>
    </row>
    <row r="25" spans="1:61" ht="15.75" customHeight="1" x14ac:dyDescent="0.35">
      <c r="A25" s="4"/>
      <c r="B25" s="4"/>
      <c r="C25" s="4"/>
    </row>
    <row r="26" spans="1:61" ht="15.75" customHeight="1" x14ac:dyDescent="0.35">
      <c r="A26" s="4"/>
      <c r="B26" s="4"/>
      <c r="C26" s="4"/>
    </row>
    <row r="27" spans="1:61" ht="15.75" customHeight="1" x14ac:dyDescent="0.35">
      <c r="A27" s="4"/>
      <c r="B27" s="4"/>
      <c r="C27" s="4"/>
    </row>
    <row r="28" spans="1:61" ht="15.75" customHeight="1" x14ac:dyDescent="0.35">
      <c r="A28" s="4"/>
      <c r="B28" s="4"/>
      <c r="C28" s="4"/>
    </row>
    <row r="29" spans="1:61" ht="15" customHeight="1" x14ac:dyDescent="0.35">
      <c r="A29" s="2" t="s">
        <v>261</v>
      </c>
      <c r="B29" s="2" t="s">
        <v>41</v>
      </c>
      <c r="C29" s="2" t="s">
        <v>43</v>
      </c>
      <c r="D29" s="2" t="s">
        <v>45</v>
      </c>
      <c r="E29" s="2" t="s">
        <v>48</v>
      </c>
      <c r="F29" s="2" t="s">
        <v>50</v>
      </c>
    </row>
    <row r="30" spans="1:61" ht="15" customHeight="1" x14ac:dyDescent="0.35">
      <c r="A30" s="3" t="s">
        <v>262</v>
      </c>
      <c r="B30" s="32">
        <f>Anual!B39</f>
        <v>-56208.092001896584</v>
      </c>
      <c r="C30" s="32">
        <f>Anual!C39</f>
        <v>-104061.69268401359</v>
      </c>
      <c r="D30" s="32">
        <f>Anual!D39</f>
        <v>-7719.6089371301896</v>
      </c>
      <c r="E30" s="32">
        <f>Anual!E39</f>
        <v>102419.93730828766</v>
      </c>
      <c r="F30" s="32">
        <f>Anual!F39+B5</f>
        <v>1522370.5869636082</v>
      </c>
    </row>
    <row r="31" spans="1:61" ht="15.75" customHeight="1" x14ac:dyDescent="0.35">
      <c r="A31" s="4"/>
      <c r="B31" s="4"/>
      <c r="C31" s="4"/>
    </row>
    <row r="32" spans="1:61" ht="15" customHeight="1" x14ac:dyDescent="0.35">
      <c r="A32" s="2" t="s">
        <v>273</v>
      </c>
      <c r="B32" s="2">
        <v>1</v>
      </c>
      <c r="C32" s="2">
        <v>2</v>
      </c>
      <c r="D32" s="2">
        <v>3</v>
      </c>
      <c r="E32" s="2">
        <v>4</v>
      </c>
      <c r="F32" s="2">
        <v>5</v>
      </c>
      <c r="G32" s="2">
        <v>6</v>
      </c>
      <c r="H32" s="2">
        <v>7</v>
      </c>
      <c r="I32" s="2">
        <v>8</v>
      </c>
      <c r="J32" s="2">
        <v>9</v>
      </c>
      <c r="K32" s="2">
        <v>10</v>
      </c>
      <c r="L32" s="2">
        <v>11</v>
      </c>
      <c r="M32" s="2">
        <v>12</v>
      </c>
      <c r="N32" s="2">
        <v>13</v>
      </c>
      <c r="O32" s="2">
        <v>14</v>
      </c>
      <c r="P32" s="2">
        <v>15</v>
      </c>
      <c r="Q32" s="2">
        <v>16</v>
      </c>
      <c r="R32" s="2">
        <v>17</v>
      </c>
      <c r="S32" s="2">
        <v>18</v>
      </c>
      <c r="T32" s="2">
        <v>19</v>
      </c>
      <c r="U32" s="2">
        <v>20</v>
      </c>
      <c r="V32" s="2">
        <v>21</v>
      </c>
      <c r="W32" s="2">
        <v>22</v>
      </c>
      <c r="X32" s="2">
        <v>23</v>
      </c>
      <c r="Y32" s="2">
        <v>24</v>
      </c>
      <c r="Z32" s="2">
        <v>25</v>
      </c>
      <c r="AA32" s="2">
        <v>26</v>
      </c>
      <c r="AB32" s="2">
        <v>27</v>
      </c>
      <c r="AC32" s="2">
        <v>28</v>
      </c>
      <c r="AD32" s="2">
        <v>29</v>
      </c>
      <c r="AE32" s="2">
        <v>30</v>
      </c>
      <c r="AF32" s="2">
        <v>31</v>
      </c>
      <c r="AG32" s="2">
        <v>32</v>
      </c>
      <c r="AH32" s="2">
        <v>33</v>
      </c>
      <c r="AI32" s="2">
        <v>34</v>
      </c>
      <c r="AJ32" s="2">
        <v>35</v>
      </c>
      <c r="AK32" s="2">
        <v>36</v>
      </c>
      <c r="AL32" s="2">
        <v>37</v>
      </c>
      <c r="AM32" s="2">
        <v>38</v>
      </c>
      <c r="AN32" s="2">
        <v>39</v>
      </c>
      <c r="AO32" s="2">
        <v>40</v>
      </c>
      <c r="AP32" s="2">
        <v>41</v>
      </c>
      <c r="AQ32" s="2">
        <v>42</v>
      </c>
      <c r="AR32" s="2">
        <v>43</v>
      </c>
      <c r="AS32" s="2">
        <v>44</v>
      </c>
      <c r="AT32" s="2">
        <v>45</v>
      </c>
      <c r="AU32" s="2">
        <v>46</v>
      </c>
      <c r="AV32" s="2">
        <v>47</v>
      </c>
      <c r="AW32" s="2">
        <v>48</v>
      </c>
      <c r="AX32" s="2">
        <v>49</v>
      </c>
      <c r="AY32" s="2">
        <v>50</v>
      </c>
      <c r="AZ32" s="2">
        <v>51</v>
      </c>
      <c r="BA32" s="2">
        <v>52</v>
      </c>
      <c r="BB32" s="2">
        <v>53</v>
      </c>
      <c r="BC32" s="2">
        <v>54</v>
      </c>
      <c r="BD32" s="2">
        <v>55</v>
      </c>
      <c r="BE32" s="2">
        <v>56</v>
      </c>
      <c r="BF32" s="2">
        <v>57</v>
      </c>
      <c r="BG32" s="2">
        <v>58</v>
      </c>
      <c r="BH32" s="2">
        <v>59</v>
      </c>
      <c r="BI32" s="2">
        <v>60</v>
      </c>
    </row>
    <row r="33" spans="1:61" ht="15" customHeight="1" x14ac:dyDescent="0.35">
      <c r="A33" s="4"/>
      <c r="B33" s="26">
        <f>SUM(Mensual!$L$2)-SUM(Mensual!$V$2)-SUM(Mensual!$X$2)</f>
        <v>-12170</v>
      </c>
      <c r="C33" s="26">
        <f>SUM(Mensual!$L$2:$L$3)-SUM(Mensual!$V$2:$V$3)-SUM(Mensual!$X$2:$X$3)</f>
        <v>-13140</v>
      </c>
      <c r="D33" s="26">
        <f>SUM(Mensual!$L$2:$L$4)-SUM(Mensual!$V$2:$V$4)-SUM(Mensual!$X$2:$X$4)</f>
        <v>-14110</v>
      </c>
      <c r="E33" s="26">
        <f>SUM(Mensual!$L$2:$L$5)-SUM(Mensual!$V$2:$V$5)-SUM(Mensual!$X$2:$X$5)</f>
        <v>-16580</v>
      </c>
      <c r="F33" s="26">
        <f>SUM(Mensual!$L$2:$L$6)-SUM(Mensual!$V$2:$V$6)-SUM(Mensual!$X$2:$X$6)</f>
        <v>-19050</v>
      </c>
      <c r="G33" s="26">
        <f>SUM(Mensual!$L$2:$L$7)-SUM(Mensual!$V$2:$V$7)-SUM(Mensual!$X$2:$X$7)</f>
        <v>-21520</v>
      </c>
      <c r="H33" s="26">
        <f>SUM(Mensual!$L$2:$L$8)-SUM(Mensual!$V$2:$V$8)-SUM(Mensual!$X$2:$X$8)</f>
        <v>-26512.716</v>
      </c>
      <c r="I33" s="26">
        <f>SUM(Mensual!$L$2:$L$9)-SUM(Mensual!$V$2:$V$9)-SUM(Mensual!$X$2:$X$9)</f>
        <v>-31151.589680000001</v>
      </c>
      <c r="J33" s="26">
        <f>SUM(Mensual!$L$2:$L$10)-SUM(Mensual!$V$2:$V$10)-SUM(Mensual!$X$2:$X$10)</f>
        <v>-35443.697886399998</v>
      </c>
      <c r="K33" s="26">
        <f>SUM(Mensual!$L$2:$L$11)-SUM(Mensual!$V$2:$V$11)-SUM(Mensual!$X$2:$X$11)</f>
        <v>-42695.975928672</v>
      </c>
      <c r="L33" s="26">
        <f>SUM(Mensual!$L$2:$L$12)-SUM(Mensual!$V$2:$V$12)-SUM(Mensual!$X$2:$X$12)</f>
        <v>-49615.220410098555</v>
      </c>
      <c r="M33" s="26">
        <f>SUM(Mensual!$L$2:$L$13)-SUM(Mensual!$V$2:$V$13)-SUM(Mensual!$X$2:$X$13)</f>
        <v>-56208.092001896592</v>
      </c>
      <c r="N33" s="26">
        <f>SUM(Mensual!$L$2:$L$14)-SUM(Mensual!$V$2:$V$14)-SUM(Mensual!$X$2:$X$14)</f>
        <v>-70099.446854468028</v>
      </c>
      <c r="O33" s="26">
        <f>SUM(Mensual!$L$2:$L$15)-SUM(Mensual!$V$2:$V$15)-SUM(Mensual!$X$2:$X$15)</f>
        <v>-80980.72340998803</v>
      </c>
      <c r="P33" s="26">
        <f>SUM(Mensual!$L$2:$L$16)-SUM(Mensual!$V$2:$V$16)-SUM(Mensual!$X$2:$X$16)</f>
        <v>-90872.12323439763</v>
      </c>
      <c r="Q33" s="26">
        <f>SUM(Mensual!$L$2:$L$17)-SUM(Mensual!$V$2:$V$17)-SUM(Mensual!$X$2:$X$17)</f>
        <v>-102213.44386231902</v>
      </c>
      <c r="R33" s="26">
        <f>SUM(Mensual!$L$2:$L$18)-SUM(Mensual!$V$2:$V$18)-SUM(Mensual!$X$2:$X$18)</f>
        <v>-112604.08687768201</v>
      </c>
      <c r="S33" s="26">
        <f>SUM(Mensual!$L$2:$L$19)-SUM(Mensual!$V$2:$V$19)-SUM(Mensual!$X$2:$X$19)</f>
        <v>-122063.06583273772</v>
      </c>
      <c r="T33" s="26">
        <f>SUM(Mensual!$L$2:$L$20)-SUM(Mensual!$V$2:$V$20)-SUM(Mensual!$X$2:$X$20)</f>
        <v>-130609.01400869235</v>
      </c>
      <c r="U33" s="26">
        <f>SUM(Mensual!$L$2:$L$21)-SUM(Mensual!$V$2:$V$21)-SUM(Mensual!$X$2:$X$21)</f>
        <v>-138260.19202112788</v>
      </c>
      <c r="V33" s="26">
        <f>SUM(Mensual!$L$2:$L$22)-SUM(Mensual!$V$2:$V$22)-SUM(Mensual!$X$2:$X$22)</f>
        <v>-145034.49527331468</v>
      </c>
      <c r="W33" s="26">
        <f>SUM(Mensual!$L$2:$L$23)-SUM(Mensual!$V$2:$V$23)-SUM(Mensual!$X$2:$X$23)</f>
        <v>-150949.46126045776</v>
      </c>
      <c r="X33" s="26">
        <f>SUM(Mensual!$L$2:$L$24)-SUM(Mensual!$V$2:$V$24)-SUM(Mensual!$X$2:$X$24)</f>
        <v>-156022.27672785794</v>
      </c>
      <c r="Y33" s="26">
        <f>SUM(Mensual!$L$2:$L$25)-SUM(Mensual!$V$2:$V$25)-SUM(Mensual!$X$2:$X$25)</f>
        <v>-160269.78468591013</v>
      </c>
      <c r="Z33" s="26">
        <f>SUM(Mensual!$L$2:$L$26)-SUM(Mensual!$V$2:$V$26)-SUM(Mensual!$X$2:$X$26)</f>
        <v>-167124.02294161974</v>
      </c>
      <c r="AA33" s="26">
        <f>SUM(Mensual!$L$2:$L$27)-SUM(Mensual!$V$2:$V$27)-SUM(Mensual!$X$2:$X$27)</f>
        <v>-172418.64915221513</v>
      </c>
      <c r="AB33" s="26">
        <f>SUM(Mensual!$L$2:$L$28)-SUM(Mensual!$V$2:$V$28)-SUM(Mensual!$X$2:$X$28)</f>
        <v>-176184.85555859859</v>
      </c>
      <c r="AC33" s="26">
        <f>SUM(Mensual!$L$2:$L$29)-SUM(Mensual!$V$2:$V$29)-SUM(Mensual!$X$2:$X$29)</f>
        <v>-178453.21055685441</v>
      </c>
      <c r="AD33" s="26">
        <f>SUM(Mensual!$L$2:$L$30)-SUM(Mensual!$V$2:$V$30)-SUM(Mensual!$X$2:$X$30)</f>
        <v>-179253.67117514514</v>
      </c>
      <c r="AE33" s="26">
        <f>SUM(Mensual!$L$2:$L$31)-SUM(Mensual!$V$2:$V$31)-SUM(Mensual!$X$2:$X$31)</f>
        <v>-178615.59530107008</v>
      </c>
      <c r="AF33" s="26">
        <f>SUM(Mensual!$L$2:$L$32)-SUM(Mensual!$V$2:$V$32)-SUM(Mensual!$X$2:$X$32)</f>
        <v>-179207.75366447645</v>
      </c>
      <c r="AG33" s="26">
        <f>SUM(Mensual!$L$2:$L$33)-SUM(Mensual!$V$2:$V$33)-SUM(Mensual!$X$2:$X$33)</f>
        <v>-178418.34158061474</v>
      </c>
      <c r="AH33" s="26">
        <f>SUM(Mensual!$L$2:$L$34)-SUM(Mensual!$V$2:$V$34)-SUM(Mensual!$X$2:$X$34)</f>
        <v>-176274.99045843026</v>
      </c>
      <c r="AI33" s="26">
        <f>SUM(Mensual!$L$2:$L$35)-SUM(Mensual!$V$2:$V$35)-SUM(Mensual!$X$2:$X$35)</f>
        <v>-172804.77907868946</v>
      </c>
      <c r="AJ33" s="26">
        <f>SUM(Mensual!$L$2:$L$36)-SUM(Mensual!$V$2:$V$36)-SUM(Mensual!$X$2:$X$36)</f>
        <v>-168034.24464654352</v>
      </c>
      <c r="AK33" s="26">
        <f>SUM(Mensual!$L$2:$L$37)-SUM(Mensual!$V$2:$V$37)-SUM(Mensual!$X$2:$X$37)</f>
        <v>-167989.39362304047</v>
      </c>
      <c r="AL33" s="26">
        <f>SUM(Mensual!$L$2:$L$38)-SUM(Mensual!$V$2:$V$38)-SUM(Mensual!$X$2:$X$38)</f>
        <v>-169385.587557127</v>
      </c>
      <c r="AM33" s="26">
        <f>SUM(Mensual!$L$2:$L$39)-SUM(Mensual!$V$2:$V$39)-SUM(Mensual!$X$2:$X$39)</f>
        <v>-165692.92431253183</v>
      </c>
      <c r="AN33" s="26">
        <f>SUM(Mensual!$L$2:$L$40)-SUM(Mensual!$V$2:$V$40)-SUM(Mensual!$X$2:$X$40)</f>
        <v>-159953.18103282852</v>
      </c>
      <c r="AO33" s="26">
        <f>SUM(Mensual!$L$2:$L$41)-SUM(Mensual!$V$2:$V$41)-SUM(Mensual!$X$2:$X$41)</f>
        <v>-152207.29931871919</v>
      </c>
      <c r="AP33" s="26">
        <f>SUM(Mensual!$L$2:$L$42)-SUM(Mensual!$V$2:$V$42)-SUM(Mensual!$X$2:$X$42)</f>
        <v>-142495.40193889209</v>
      </c>
      <c r="AQ33" s="26">
        <f>SUM(Mensual!$L$2:$L$43)-SUM(Mensual!$V$2:$V$43)-SUM(Mensual!$X$2:$X$43)</f>
        <v>-130856.80920666154</v>
      </c>
      <c r="AR33" s="26">
        <f>SUM(Mensual!$L$2:$L$44)-SUM(Mensual!$V$2:$V$44)-SUM(Mensual!$X$2:$X$44)</f>
        <v>-122940.05502907559</v>
      </c>
      <c r="AS33" s="26">
        <f>SUM(Mensual!$L$2:$L$45)-SUM(Mensual!$V$2:$V$45)-SUM(Mensual!$X$2:$X$45)</f>
        <v>-113172.90263504139</v>
      </c>
      <c r="AT33" s="26">
        <f>SUM(Mensual!$L$2:$L$46)-SUM(Mensual!$V$2:$V$46)-SUM(Mensual!$X$2:$X$46)</f>
        <v>-101592.35998888791</v>
      </c>
      <c r="AU33" s="26">
        <f>SUM(Mensual!$L$2:$L$47)-SUM(Mensual!$V$2:$V$47)-SUM(Mensual!$X$2:$X$47)</f>
        <v>-91314.694895657361</v>
      </c>
      <c r="AV33" s="26">
        <f>SUM(Mensual!$L$2:$L$48)-SUM(Mensual!$V$2:$V$48)-SUM(Mensual!$X$2:$X$48)</f>
        <v>-79295.449804291595</v>
      </c>
      <c r="AW33" s="26">
        <f>SUM(Mensual!$L$2:$L$49)-SUM(Mensual!$V$2:$V$49)-SUM(Mensual!$X$2:$X$49)</f>
        <v>-65569.456314753043</v>
      </c>
      <c r="AX33" s="26">
        <f>SUM(Mensual!$L$2:$L$50)-SUM(Mensual!$V$2:$V$50)-SUM(Mensual!$X$2:$X$50)</f>
        <v>-51033.403147570323</v>
      </c>
      <c r="AY33" s="26">
        <f>SUM(Mensual!$L$2:$L$51)-SUM(Mensual!$V$2:$V$51)-SUM(Mensual!$X$2:$X$51)</f>
        <v>-34413.197543731425</v>
      </c>
      <c r="AZ33" s="26">
        <f>SUM(Mensual!$L$2:$L$52)-SUM(Mensual!$V$2:$V$52)-SUM(Mensual!$X$2:$X$52)</f>
        <v>-15750.522551969159</v>
      </c>
      <c r="BA33" s="26">
        <f>SUM(Mensual!$L$2:$L$53)-SUM(Mensual!$V$2:$V$53)-SUM(Mensual!$X$2:$X$53)</f>
        <v>4913.7724399578292</v>
      </c>
      <c r="BB33" s="26">
        <f>SUM(Mensual!$L$2:$L$54)-SUM(Mensual!$V$2:$V$54)-SUM(Mensual!$X$2:$X$54)</f>
        <v>27539.655032046372</v>
      </c>
      <c r="BC33" s="26">
        <f>SUM(Mensual!$L$2:$L$55)-SUM(Mensual!$V$2:$V$55)-SUM(Mensual!$X$2:$X$55)</f>
        <v>52087.893472292926</v>
      </c>
      <c r="BD33" s="26">
        <f>SUM(Mensual!$L$2:$L$56)-SUM(Mensual!$V$2:$V$56)-SUM(Mensual!$X$2:$X$56)</f>
        <v>74670.040643734625</v>
      </c>
      <c r="BE33" s="26">
        <f>SUM(Mensual!$L$2:$L$57)-SUM(Mensual!$V$2:$V$57)-SUM(Mensual!$X$2:$X$57)</f>
        <v>99098.418371747481</v>
      </c>
      <c r="BF33" s="26">
        <f>SUM(Mensual!$L$2:$L$58)-SUM(Mensual!$V$2:$V$58)-SUM(Mensual!$X$2:$X$58)</f>
        <v>125336.10204520007</v>
      </c>
      <c r="BG33" s="26">
        <f>SUM(Mensual!$L$2:$L$59)-SUM(Mensual!$V$2:$V$59)-SUM(Mensual!$X$2:$X$59)</f>
        <v>153346.90554518369</v>
      </c>
      <c r="BH33" s="26">
        <f>SUM(Mensual!$L$2:$L$60)-SUM(Mensual!$V$2:$V$60)-SUM(Mensual!$X$2:$X$60)</f>
        <v>183095.36647516745</v>
      </c>
      <c r="BI33" s="26">
        <f>SUM(Mensual!$L$2:$L$61)-SUM(Mensual!$V$2:$V$61)-SUM(Mensual!$X$2:$X$61)</f>
        <v>214546.73168655159</v>
      </c>
    </row>
    <row r="34" spans="1:61" ht="15.75" customHeight="1" x14ac:dyDescent="0.35">
      <c r="A34" s="4"/>
      <c r="B34" s="4"/>
      <c r="C34" s="4"/>
    </row>
    <row r="35" spans="1:61" ht="15.75" customHeight="1" x14ac:dyDescent="0.35">
      <c r="A35" s="4"/>
      <c r="B35" s="4"/>
      <c r="C35" s="4"/>
    </row>
    <row r="36" spans="1:61" ht="15.75" customHeight="1" x14ac:dyDescent="0.35">
      <c r="A36" s="4"/>
      <c r="B36" s="4"/>
      <c r="C36" s="4"/>
    </row>
    <row r="37" spans="1:61" ht="15.75" customHeight="1" x14ac:dyDescent="0.35">
      <c r="A37" s="4"/>
      <c r="B37" s="4"/>
      <c r="C37" s="4"/>
    </row>
    <row r="38" spans="1:61" ht="15.75" customHeight="1" x14ac:dyDescent="0.35">
      <c r="A38" s="4"/>
      <c r="B38" s="4"/>
      <c r="C38" s="4"/>
    </row>
    <row r="39" spans="1:61" ht="15.75" customHeight="1" x14ac:dyDescent="0.35">
      <c r="A39" s="4"/>
      <c r="B39" s="4"/>
      <c r="C39" s="4"/>
    </row>
    <row r="40" spans="1:61" ht="15.75" customHeight="1" x14ac:dyDescent="0.35">
      <c r="A40" s="4"/>
      <c r="B40" s="4"/>
      <c r="C40" s="4"/>
    </row>
    <row r="41" spans="1:61" ht="15.75" customHeight="1" x14ac:dyDescent="0.35">
      <c r="A41" s="4"/>
      <c r="B41" s="4"/>
      <c r="C41" s="4"/>
    </row>
    <row r="42" spans="1:61" ht="15.75" customHeight="1" x14ac:dyDescent="0.35">
      <c r="A42" s="4"/>
      <c r="B42" s="4"/>
      <c r="C42" s="4"/>
    </row>
    <row r="43" spans="1:61" ht="15.75" customHeight="1" x14ac:dyDescent="0.35">
      <c r="A43" s="4"/>
      <c r="B43" s="4"/>
      <c r="C43" s="4"/>
    </row>
    <row r="44" spans="1:61" ht="15.75" customHeight="1" x14ac:dyDescent="0.35">
      <c r="A44" s="4"/>
      <c r="B44" s="4"/>
      <c r="C44" s="4"/>
    </row>
    <row r="45" spans="1:61" ht="15.75" customHeight="1" x14ac:dyDescent="0.35">
      <c r="A45" s="4"/>
      <c r="B45" s="4"/>
      <c r="C45" s="4"/>
    </row>
    <row r="46" spans="1:61" ht="15.75" customHeight="1" x14ac:dyDescent="0.35">
      <c r="A46" s="4"/>
      <c r="B46" s="4"/>
      <c r="C46" s="4"/>
    </row>
    <row r="47" spans="1:61" ht="15.75" customHeight="1" x14ac:dyDescent="0.35">
      <c r="A47" s="4"/>
      <c r="B47" s="4"/>
      <c r="C47" s="4"/>
    </row>
    <row r="48" spans="1:61" ht="15.75" customHeight="1" x14ac:dyDescent="0.35">
      <c r="A48" s="4"/>
      <c r="B48" s="4"/>
      <c r="C48" s="4"/>
    </row>
    <row r="49" spans="1:3" ht="15.75" customHeight="1" x14ac:dyDescent="0.35">
      <c r="A49" s="4"/>
      <c r="B49" s="4"/>
      <c r="C49" s="4"/>
    </row>
    <row r="50" spans="1:3" ht="15.75" customHeight="1" x14ac:dyDescent="0.35">
      <c r="A50" s="4"/>
      <c r="B50" s="4"/>
      <c r="C50" s="4"/>
    </row>
    <row r="51" spans="1:3" ht="15.75" customHeight="1" x14ac:dyDescent="0.35">
      <c r="A51" s="4"/>
      <c r="B51" s="4"/>
      <c r="C51" s="4"/>
    </row>
    <row r="52" spans="1:3" ht="15.75" customHeight="1" x14ac:dyDescent="0.35">
      <c r="A52" s="4"/>
      <c r="B52" s="4"/>
      <c r="C52" s="4"/>
    </row>
    <row r="53" spans="1:3" ht="15.75" customHeight="1" x14ac:dyDescent="0.35">
      <c r="A53" s="4"/>
      <c r="B53" s="4"/>
      <c r="C53" s="4"/>
    </row>
    <row r="54" spans="1:3" ht="15.75" customHeight="1" x14ac:dyDescent="0.35">
      <c r="A54" s="4"/>
      <c r="B54" s="4"/>
      <c r="C54" s="4"/>
    </row>
    <row r="55" spans="1:3" ht="15.75" customHeight="1" x14ac:dyDescent="0.35">
      <c r="A55" s="4"/>
      <c r="B55" s="4"/>
      <c r="C55" s="4"/>
    </row>
    <row r="56" spans="1:3" ht="15.75" customHeight="1" x14ac:dyDescent="0.35">
      <c r="A56" s="4"/>
      <c r="B56" s="4"/>
      <c r="C56" s="4"/>
    </row>
    <row r="57" spans="1:3" ht="15.75" customHeight="1" x14ac:dyDescent="0.35">
      <c r="A57" s="4"/>
      <c r="B57" s="4"/>
      <c r="C57" s="4"/>
    </row>
    <row r="58" spans="1:3" ht="15.75" customHeight="1" x14ac:dyDescent="0.35">
      <c r="A58" s="4"/>
      <c r="B58" s="4"/>
      <c r="C58" s="4"/>
    </row>
    <row r="59" spans="1:3" ht="15.75" customHeight="1" x14ac:dyDescent="0.35">
      <c r="A59" s="4"/>
      <c r="B59" s="4"/>
      <c r="C59" s="4"/>
    </row>
    <row r="60" spans="1:3" ht="15.75" customHeight="1" x14ac:dyDescent="0.35">
      <c r="A60" s="4"/>
      <c r="B60" s="4"/>
      <c r="C60" s="4"/>
    </row>
    <row r="61" spans="1:3" ht="15.75" customHeight="1" x14ac:dyDescent="0.35">
      <c r="A61" s="4"/>
      <c r="B61" s="4"/>
      <c r="C61" s="4"/>
    </row>
    <row r="62" spans="1:3" ht="15.75" customHeight="1" x14ac:dyDescent="0.35">
      <c r="A62" s="4"/>
      <c r="B62" s="4"/>
      <c r="C62" s="4"/>
    </row>
    <row r="63" spans="1:3" ht="15.75" customHeight="1" x14ac:dyDescent="0.35">
      <c r="A63" s="4"/>
      <c r="B63" s="4"/>
      <c r="C63" s="4"/>
    </row>
    <row r="64" spans="1:3" ht="15.75" customHeight="1" x14ac:dyDescent="0.35">
      <c r="A64" s="4"/>
      <c r="B64" s="4"/>
      <c r="C64" s="4"/>
    </row>
    <row r="65" spans="1:3" ht="15.75" customHeight="1" x14ac:dyDescent="0.35">
      <c r="A65" s="4"/>
      <c r="B65" s="4"/>
      <c r="C65" s="4"/>
    </row>
    <row r="66" spans="1:3" ht="15.75" customHeight="1" x14ac:dyDescent="0.35">
      <c r="A66" s="4"/>
      <c r="B66" s="4"/>
      <c r="C66" s="4"/>
    </row>
    <row r="67" spans="1:3" ht="15.75" customHeight="1" x14ac:dyDescent="0.35">
      <c r="A67" s="4"/>
      <c r="B67" s="4"/>
      <c r="C67" s="4"/>
    </row>
    <row r="68" spans="1:3" ht="15.75" customHeight="1" x14ac:dyDescent="0.35">
      <c r="A68" s="4"/>
      <c r="B68" s="4"/>
      <c r="C68" s="4"/>
    </row>
    <row r="69" spans="1:3" ht="15.75" customHeight="1" x14ac:dyDescent="0.35">
      <c r="A69" s="4"/>
      <c r="B69" s="4"/>
      <c r="C69" s="4"/>
    </row>
    <row r="70" spans="1:3" ht="15.75" customHeight="1" x14ac:dyDescent="0.35">
      <c r="A70" s="4"/>
      <c r="B70" s="4"/>
      <c r="C70" s="4"/>
    </row>
    <row r="71" spans="1:3" ht="15.75" customHeight="1" x14ac:dyDescent="0.35">
      <c r="A71" s="4"/>
      <c r="B71" s="4"/>
      <c r="C71" s="4"/>
    </row>
    <row r="72" spans="1:3" ht="15.75" customHeight="1" x14ac:dyDescent="0.35">
      <c r="A72" s="4"/>
      <c r="B72" s="4"/>
      <c r="C72" s="4"/>
    </row>
    <row r="73" spans="1:3" ht="15.75" customHeight="1" x14ac:dyDescent="0.35">
      <c r="A73" s="4"/>
      <c r="B73" s="4"/>
      <c r="C73" s="4"/>
    </row>
    <row r="74" spans="1:3" ht="15.75" customHeight="1" x14ac:dyDescent="0.35">
      <c r="A74" s="4"/>
      <c r="B74" s="4"/>
      <c r="C74" s="4"/>
    </row>
    <row r="75" spans="1:3" ht="15.75" customHeight="1" x14ac:dyDescent="0.35">
      <c r="A75" s="4"/>
      <c r="B75" s="4"/>
      <c r="C75" s="4"/>
    </row>
    <row r="76" spans="1:3" ht="15.75" customHeight="1" x14ac:dyDescent="0.35">
      <c r="A76" s="4"/>
      <c r="B76" s="4"/>
      <c r="C76" s="4"/>
    </row>
    <row r="77" spans="1:3" ht="15.75" customHeight="1" x14ac:dyDescent="0.35">
      <c r="A77" s="4"/>
      <c r="B77" s="4"/>
      <c r="C77" s="4"/>
    </row>
    <row r="78" spans="1:3" ht="15.75" customHeight="1" x14ac:dyDescent="0.35">
      <c r="A78" s="4"/>
      <c r="B78" s="4"/>
      <c r="C78" s="4"/>
    </row>
    <row r="79" spans="1:3" ht="15.75" customHeight="1" x14ac:dyDescent="0.35">
      <c r="A79" s="4"/>
      <c r="B79" s="4"/>
      <c r="C79" s="4"/>
    </row>
    <row r="80" spans="1:3" ht="15.75" customHeight="1" x14ac:dyDescent="0.35">
      <c r="A80" s="4"/>
      <c r="B80" s="4"/>
      <c r="C80" s="4"/>
    </row>
    <row r="81" spans="1:3" ht="15.75" customHeight="1" x14ac:dyDescent="0.35">
      <c r="A81" s="4"/>
      <c r="B81" s="4"/>
      <c r="C81" s="4"/>
    </row>
    <row r="82" spans="1:3" ht="15.75" customHeight="1" x14ac:dyDescent="0.35">
      <c r="A82" s="4"/>
      <c r="B82" s="4"/>
      <c r="C82" s="4"/>
    </row>
    <row r="83" spans="1:3" ht="15.75" customHeight="1" x14ac:dyDescent="0.35">
      <c r="A83" s="4"/>
      <c r="B83" s="4"/>
      <c r="C83" s="4"/>
    </row>
    <row r="84" spans="1:3" ht="15.75" customHeight="1" x14ac:dyDescent="0.35">
      <c r="A84" s="4"/>
      <c r="B84" s="4"/>
      <c r="C84" s="4"/>
    </row>
    <row r="85" spans="1:3" ht="15.75" customHeight="1" x14ac:dyDescent="0.35">
      <c r="A85" s="4"/>
      <c r="B85" s="4"/>
      <c r="C85" s="4"/>
    </row>
    <row r="86" spans="1:3" ht="15.75" customHeight="1" x14ac:dyDescent="0.35">
      <c r="A86" s="4"/>
      <c r="B86" s="4"/>
      <c r="C86" s="4"/>
    </row>
    <row r="87" spans="1:3" ht="15.75" customHeight="1" x14ac:dyDescent="0.35">
      <c r="A87" s="4"/>
      <c r="B87" s="4"/>
      <c r="C87" s="4"/>
    </row>
    <row r="88" spans="1:3" ht="15.75" customHeight="1" x14ac:dyDescent="0.35">
      <c r="A88" s="4"/>
      <c r="B88" s="4"/>
      <c r="C88" s="4"/>
    </row>
    <row r="89" spans="1:3" ht="15.75" customHeight="1" x14ac:dyDescent="0.35">
      <c r="A89" s="4"/>
      <c r="B89" s="4"/>
      <c r="C89" s="4"/>
    </row>
    <row r="90" spans="1:3" ht="15.75" customHeight="1" x14ac:dyDescent="0.35">
      <c r="A90" s="4"/>
      <c r="B90" s="4"/>
      <c r="C90" s="4"/>
    </row>
    <row r="91" spans="1:3" ht="15.75" customHeight="1" x14ac:dyDescent="0.35">
      <c r="A91" s="4"/>
      <c r="B91" s="4"/>
      <c r="C91" s="4"/>
    </row>
    <row r="92" spans="1:3" ht="15.75" customHeight="1" x14ac:dyDescent="0.35">
      <c r="A92" s="4"/>
      <c r="B92" s="4"/>
      <c r="C92" s="4"/>
    </row>
    <row r="93" spans="1:3" ht="15.75" customHeight="1" x14ac:dyDescent="0.35">
      <c r="A93" s="4"/>
      <c r="B93" s="4"/>
      <c r="C93" s="4"/>
    </row>
    <row r="94" spans="1:3" ht="15.75" customHeight="1" x14ac:dyDescent="0.35">
      <c r="A94" s="4"/>
      <c r="B94" s="4"/>
      <c r="C94" s="4"/>
    </row>
    <row r="95" spans="1:3" ht="15.75" customHeight="1" x14ac:dyDescent="0.35">
      <c r="A95" s="4"/>
      <c r="B95" s="4"/>
      <c r="C95" s="4"/>
    </row>
    <row r="96" spans="1:3" ht="15.75" customHeight="1" x14ac:dyDescent="0.35">
      <c r="A96" s="4"/>
      <c r="B96" s="4"/>
      <c r="C96" s="4"/>
    </row>
    <row r="97" spans="1:3" ht="15.75" customHeight="1" x14ac:dyDescent="0.35">
      <c r="A97" s="4"/>
      <c r="B97" s="4"/>
      <c r="C97" s="4"/>
    </row>
    <row r="98" spans="1:3" ht="15.75" customHeight="1" x14ac:dyDescent="0.35">
      <c r="A98" s="4"/>
      <c r="B98" s="4"/>
      <c r="C98" s="4"/>
    </row>
    <row r="99" spans="1:3" ht="15.75" customHeight="1" x14ac:dyDescent="0.35">
      <c r="A99" s="4"/>
      <c r="B99" s="4"/>
      <c r="C99" s="4"/>
    </row>
    <row r="100" spans="1:3" ht="15.75" customHeight="1" x14ac:dyDescent="0.35">
      <c r="A100" s="4"/>
      <c r="B100" s="4"/>
      <c r="C100" s="4"/>
    </row>
    <row r="101" spans="1:3" ht="15.75" customHeight="1" x14ac:dyDescent="0.35">
      <c r="A101" s="4"/>
      <c r="B101" s="4"/>
      <c r="C101" s="4"/>
    </row>
    <row r="102" spans="1:3" ht="15.75" customHeight="1" x14ac:dyDescent="0.35">
      <c r="A102" s="4"/>
      <c r="B102" s="4"/>
      <c r="C102" s="4"/>
    </row>
    <row r="103" spans="1:3" ht="15.75" customHeight="1" x14ac:dyDescent="0.35">
      <c r="A103" s="4"/>
      <c r="B103" s="4"/>
      <c r="C103" s="4"/>
    </row>
    <row r="104" spans="1:3" ht="15.75" customHeight="1" x14ac:dyDescent="0.35">
      <c r="A104" s="4"/>
      <c r="B104" s="4"/>
      <c r="C104" s="4"/>
    </row>
    <row r="105" spans="1:3" ht="15.75" customHeight="1" x14ac:dyDescent="0.35">
      <c r="A105" s="4"/>
      <c r="B105" s="4"/>
      <c r="C105" s="4"/>
    </row>
    <row r="106" spans="1:3" ht="15.75" customHeight="1" x14ac:dyDescent="0.35">
      <c r="A106" s="4"/>
      <c r="B106" s="4"/>
      <c r="C106" s="4"/>
    </row>
    <row r="107" spans="1:3" ht="15.75" customHeight="1" x14ac:dyDescent="0.35">
      <c r="A107" s="4"/>
      <c r="B107" s="4"/>
      <c r="C107" s="4"/>
    </row>
    <row r="108" spans="1:3" ht="15.75" customHeight="1" x14ac:dyDescent="0.35">
      <c r="A108" s="4"/>
      <c r="B108" s="4"/>
      <c r="C108" s="4"/>
    </row>
    <row r="109" spans="1:3" ht="15.75" customHeight="1" x14ac:dyDescent="0.35">
      <c r="A109" s="4"/>
      <c r="B109" s="4"/>
      <c r="C109" s="4"/>
    </row>
    <row r="110" spans="1:3" ht="15.75" customHeight="1" x14ac:dyDescent="0.35">
      <c r="A110" s="4"/>
      <c r="B110" s="4"/>
      <c r="C110" s="4"/>
    </row>
    <row r="111" spans="1:3" ht="15.75" customHeight="1" x14ac:dyDescent="0.35">
      <c r="A111" s="4"/>
      <c r="B111" s="4"/>
      <c r="C111" s="4"/>
    </row>
    <row r="112" spans="1:3" ht="15.75" customHeight="1" x14ac:dyDescent="0.35">
      <c r="A112" s="4"/>
      <c r="B112" s="4"/>
      <c r="C112" s="4"/>
    </row>
    <row r="113" spans="1:3" ht="15.75" customHeight="1" x14ac:dyDescent="0.35">
      <c r="A113" s="4"/>
      <c r="B113" s="4"/>
      <c r="C113" s="4"/>
    </row>
    <row r="114" spans="1:3" ht="15.75" customHeight="1" x14ac:dyDescent="0.35">
      <c r="A114" s="4"/>
      <c r="B114" s="4"/>
      <c r="C114" s="4"/>
    </row>
    <row r="115" spans="1:3" ht="15.75" customHeight="1" x14ac:dyDescent="0.35">
      <c r="A115" s="4"/>
      <c r="B115" s="4"/>
      <c r="C115" s="4"/>
    </row>
    <row r="116" spans="1:3" ht="15.75" customHeight="1" x14ac:dyDescent="0.35">
      <c r="A116" s="4"/>
      <c r="B116" s="4"/>
      <c r="C116" s="4"/>
    </row>
    <row r="117" spans="1:3" ht="15.75" customHeight="1" x14ac:dyDescent="0.35">
      <c r="A117" s="4"/>
      <c r="B117" s="4"/>
      <c r="C117" s="4"/>
    </row>
    <row r="118" spans="1:3" ht="15.75" customHeight="1" x14ac:dyDescent="0.35">
      <c r="A118" s="4"/>
      <c r="B118" s="4"/>
      <c r="C118" s="4"/>
    </row>
    <row r="119" spans="1:3" ht="15.75" customHeight="1" x14ac:dyDescent="0.35">
      <c r="A119" s="4"/>
      <c r="B119" s="4"/>
      <c r="C119" s="4"/>
    </row>
    <row r="120" spans="1:3" ht="15.75" customHeight="1" x14ac:dyDescent="0.35">
      <c r="A120" s="4"/>
      <c r="B120" s="4"/>
      <c r="C120" s="4"/>
    </row>
    <row r="121" spans="1:3" ht="15.75" customHeight="1" x14ac:dyDescent="0.35">
      <c r="A121" s="4"/>
      <c r="B121" s="4"/>
      <c r="C121" s="4"/>
    </row>
    <row r="122" spans="1:3" ht="15.75" customHeight="1" x14ac:dyDescent="0.35">
      <c r="A122" s="4"/>
      <c r="B122" s="4"/>
      <c r="C122" s="4"/>
    </row>
    <row r="123" spans="1:3" ht="15.75" customHeight="1" x14ac:dyDescent="0.35">
      <c r="A123" s="4"/>
      <c r="B123" s="4"/>
      <c r="C123" s="4"/>
    </row>
    <row r="124" spans="1:3" ht="15.75" customHeight="1" x14ac:dyDescent="0.35">
      <c r="A124" s="4"/>
      <c r="B124" s="4"/>
      <c r="C124" s="4"/>
    </row>
    <row r="125" spans="1:3" ht="15.75" customHeight="1" x14ac:dyDescent="0.35">
      <c r="A125" s="4"/>
      <c r="B125" s="4"/>
      <c r="C125" s="4"/>
    </row>
    <row r="126" spans="1:3" ht="15.75" customHeight="1" x14ac:dyDescent="0.35">
      <c r="A126" s="4"/>
      <c r="B126" s="4"/>
      <c r="C126" s="4"/>
    </row>
    <row r="127" spans="1:3" ht="15.75" customHeight="1" x14ac:dyDescent="0.35">
      <c r="A127" s="4"/>
      <c r="B127" s="4"/>
      <c r="C127" s="4"/>
    </row>
    <row r="128" spans="1:3" ht="15.75" customHeight="1" x14ac:dyDescent="0.35">
      <c r="A128" s="4"/>
      <c r="B128" s="4"/>
      <c r="C128" s="4"/>
    </row>
    <row r="129" spans="1:3" ht="15.75" customHeight="1" x14ac:dyDescent="0.35">
      <c r="A129" s="4"/>
      <c r="B129" s="4"/>
      <c r="C129" s="4"/>
    </row>
    <row r="130" spans="1:3" ht="15.75" customHeight="1" x14ac:dyDescent="0.35">
      <c r="A130" s="4"/>
      <c r="B130" s="4"/>
      <c r="C130" s="4"/>
    </row>
    <row r="131" spans="1:3" ht="15.75" customHeight="1" x14ac:dyDescent="0.35">
      <c r="A131" s="4"/>
      <c r="B131" s="4"/>
      <c r="C131" s="4"/>
    </row>
    <row r="132" spans="1:3" ht="15.75" customHeight="1" x14ac:dyDescent="0.35">
      <c r="A132" s="4"/>
      <c r="B132" s="4"/>
      <c r="C132" s="4"/>
    </row>
    <row r="133" spans="1:3" ht="15.75" customHeight="1" x14ac:dyDescent="0.35">
      <c r="A133" s="4"/>
      <c r="B133" s="4"/>
      <c r="C133" s="4"/>
    </row>
    <row r="134" spans="1:3" ht="15.75" customHeight="1" x14ac:dyDescent="0.35">
      <c r="A134" s="4"/>
      <c r="B134" s="4"/>
      <c r="C134" s="4"/>
    </row>
    <row r="135" spans="1:3" ht="15.75" customHeight="1" x14ac:dyDescent="0.35">
      <c r="A135" s="4"/>
      <c r="B135" s="4"/>
      <c r="C135" s="4"/>
    </row>
    <row r="136" spans="1:3" ht="15.75" customHeight="1" x14ac:dyDescent="0.35">
      <c r="A136" s="4"/>
      <c r="B136" s="4"/>
      <c r="C136" s="4"/>
    </row>
    <row r="137" spans="1:3" ht="15.75" customHeight="1" x14ac:dyDescent="0.35">
      <c r="A137" s="4"/>
      <c r="B137" s="4"/>
      <c r="C137" s="4"/>
    </row>
    <row r="138" spans="1:3" ht="15.75" customHeight="1" x14ac:dyDescent="0.35">
      <c r="A138" s="4"/>
      <c r="B138" s="4"/>
      <c r="C138" s="4"/>
    </row>
    <row r="139" spans="1:3" ht="15.75" customHeight="1" x14ac:dyDescent="0.35">
      <c r="A139" s="4"/>
      <c r="B139" s="4"/>
      <c r="C139" s="4"/>
    </row>
    <row r="140" spans="1:3" ht="15.75" customHeight="1" x14ac:dyDescent="0.35">
      <c r="A140" s="4"/>
      <c r="B140" s="4"/>
      <c r="C140" s="4"/>
    </row>
    <row r="141" spans="1:3" ht="15.75" customHeight="1" x14ac:dyDescent="0.35">
      <c r="A141" s="4"/>
      <c r="B141" s="4"/>
      <c r="C141" s="4"/>
    </row>
    <row r="142" spans="1:3" ht="15.75" customHeight="1" x14ac:dyDescent="0.35">
      <c r="A142" s="4"/>
      <c r="B142" s="4"/>
      <c r="C142" s="4"/>
    </row>
    <row r="143" spans="1:3" ht="15.75" customHeight="1" x14ac:dyDescent="0.35">
      <c r="A143" s="4"/>
      <c r="B143" s="4"/>
      <c r="C143" s="4"/>
    </row>
    <row r="144" spans="1:3" ht="15.75" customHeight="1" x14ac:dyDescent="0.35">
      <c r="A144" s="4"/>
      <c r="B144" s="4"/>
      <c r="C144" s="4"/>
    </row>
    <row r="145" spans="1:3" ht="15.75" customHeight="1" x14ac:dyDescent="0.35">
      <c r="A145" s="4"/>
      <c r="B145" s="4"/>
      <c r="C145" s="4"/>
    </row>
    <row r="146" spans="1:3" ht="15.75" customHeight="1" x14ac:dyDescent="0.35">
      <c r="A146" s="4"/>
      <c r="B146" s="4"/>
      <c r="C146" s="4"/>
    </row>
    <row r="147" spans="1:3" ht="15.75" customHeight="1" x14ac:dyDescent="0.35">
      <c r="A147" s="4"/>
      <c r="B147" s="4"/>
      <c r="C147" s="4"/>
    </row>
    <row r="148" spans="1:3" ht="15.75" customHeight="1" x14ac:dyDescent="0.35">
      <c r="A148" s="4"/>
      <c r="B148" s="4"/>
      <c r="C148" s="4"/>
    </row>
    <row r="149" spans="1:3" ht="15.75" customHeight="1" x14ac:dyDescent="0.35">
      <c r="A149" s="4"/>
      <c r="B149" s="4"/>
      <c r="C149" s="4"/>
    </row>
    <row r="150" spans="1:3" ht="15.75" customHeight="1" x14ac:dyDescent="0.35">
      <c r="A150" s="4"/>
      <c r="B150" s="4"/>
      <c r="C150" s="4"/>
    </row>
    <row r="151" spans="1:3" ht="15.75" customHeight="1" x14ac:dyDescent="0.35">
      <c r="A151" s="4"/>
      <c r="B151" s="4"/>
      <c r="C151" s="4"/>
    </row>
    <row r="152" spans="1:3" ht="15.75" customHeight="1" x14ac:dyDescent="0.35">
      <c r="A152" s="4"/>
      <c r="B152" s="4"/>
      <c r="C152" s="4"/>
    </row>
    <row r="153" spans="1:3" ht="15.75" customHeight="1" x14ac:dyDescent="0.35">
      <c r="A153" s="4"/>
      <c r="B153" s="4"/>
      <c r="C153" s="4"/>
    </row>
    <row r="154" spans="1:3" ht="15.75" customHeight="1" x14ac:dyDescent="0.35">
      <c r="A154" s="4"/>
      <c r="B154" s="4"/>
      <c r="C154" s="4"/>
    </row>
    <row r="155" spans="1:3" ht="15.75" customHeight="1" x14ac:dyDescent="0.35">
      <c r="A155" s="4"/>
      <c r="B155" s="4"/>
      <c r="C155" s="4"/>
    </row>
    <row r="156" spans="1:3" ht="15.75" customHeight="1" x14ac:dyDescent="0.35">
      <c r="A156" s="4"/>
      <c r="B156" s="4"/>
      <c r="C156" s="4"/>
    </row>
    <row r="157" spans="1:3" ht="15.75" customHeight="1" x14ac:dyDescent="0.35">
      <c r="A157" s="4"/>
      <c r="B157" s="4"/>
      <c r="C157" s="4"/>
    </row>
    <row r="158" spans="1:3" ht="15.75" customHeight="1" x14ac:dyDescent="0.35">
      <c r="A158" s="4"/>
      <c r="B158" s="4"/>
      <c r="C158" s="4"/>
    </row>
    <row r="159" spans="1:3" ht="15.75" customHeight="1" x14ac:dyDescent="0.35">
      <c r="A159" s="4"/>
      <c r="B159" s="4"/>
      <c r="C159" s="4"/>
    </row>
    <row r="160" spans="1:3" ht="15.75" customHeight="1" x14ac:dyDescent="0.35">
      <c r="A160" s="4"/>
      <c r="B160" s="4"/>
      <c r="C160" s="4"/>
    </row>
    <row r="161" spans="1:3" ht="15.75" customHeight="1" x14ac:dyDescent="0.35">
      <c r="A161" s="4"/>
      <c r="B161" s="4"/>
      <c r="C161" s="4"/>
    </row>
    <row r="162" spans="1:3" ht="15.75" customHeight="1" x14ac:dyDescent="0.35">
      <c r="A162" s="4"/>
      <c r="B162" s="4"/>
      <c r="C162" s="4"/>
    </row>
    <row r="163" spans="1:3" ht="15.75" customHeight="1" x14ac:dyDescent="0.35">
      <c r="A163" s="4"/>
      <c r="B163" s="4"/>
      <c r="C163" s="4"/>
    </row>
    <row r="164" spans="1:3" ht="15.75" customHeight="1" x14ac:dyDescent="0.35">
      <c r="A164" s="4"/>
      <c r="B164" s="4"/>
      <c r="C164" s="4"/>
    </row>
    <row r="165" spans="1:3" ht="15.75" customHeight="1" x14ac:dyDescent="0.35">
      <c r="A165" s="4"/>
      <c r="B165" s="4"/>
      <c r="C165" s="4"/>
    </row>
    <row r="166" spans="1:3" ht="15.75" customHeight="1" x14ac:dyDescent="0.35">
      <c r="A166" s="4"/>
      <c r="B166" s="4"/>
      <c r="C166" s="4"/>
    </row>
    <row r="167" spans="1:3" ht="15.75" customHeight="1" x14ac:dyDescent="0.35">
      <c r="A167" s="4"/>
      <c r="B167" s="4"/>
      <c r="C167" s="4"/>
    </row>
    <row r="168" spans="1:3" ht="15.75" customHeight="1" x14ac:dyDescent="0.35">
      <c r="A168" s="4"/>
      <c r="B168" s="4"/>
      <c r="C168" s="4"/>
    </row>
    <row r="169" spans="1:3" ht="15.75" customHeight="1" x14ac:dyDescent="0.35">
      <c r="A169" s="4"/>
      <c r="B169" s="4"/>
      <c r="C169" s="4"/>
    </row>
    <row r="170" spans="1:3" ht="15.75" customHeight="1" x14ac:dyDescent="0.35">
      <c r="A170" s="4"/>
      <c r="B170" s="4"/>
      <c r="C170" s="4"/>
    </row>
    <row r="171" spans="1:3" ht="15.75" customHeight="1" x14ac:dyDescent="0.35">
      <c r="A171" s="4"/>
      <c r="B171" s="4"/>
      <c r="C171" s="4"/>
    </row>
    <row r="172" spans="1:3" ht="15.75" customHeight="1" x14ac:dyDescent="0.35">
      <c r="A172" s="4"/>
      <c r="B172" s="4"/>
      <c r="C172" s="4"/>
    </row>
    <row r="173" spans="1:3" ht="15.75" customHeight="1" x14ac:dyDescent="0.35">
      <c r="A173" s="4"/>
      <c r="B173" s="4"/>
      <c r="C173" s="4"/>
    </row>
    <row r="174" spans="1:3" ht="15.75" customHeight="1" x14ac:dyDescent="0.35">
      <c r="A174" s="4"/>
      <c r="B174" s="4"/>
      <c r="C174" s="4"/>
    </row>
    <row r="175" spans="1:3" ht="15.75" customHeight="1" x14ac:dyDescent="0.35">
      <c r="A175" s="4"/>
      <c r="B175" s="4"/>
      <c r="C175" s="4"/>
    </row>
    <row r="176" spans="1:3" ht="15.75" customHeight="1" x14ac:dyDescent="0.35">
      <c r="A176" s="4"/>
      <c r="B176" s="4"/>
      <c r="C176" s="4"/>
    </row>
    <row r="177" spans="1:3" ht="15.75" customHeight="1" x14ac:dyDescent="0.35">
      <c r="A177" s="4"/>
      <c r="B177" s="4"/>
      <c r="C177" s="4"/>
    </row>
    <row r="178" spans="1:3" ht="15.75" customHeight="1" x14ac:dyDescent="0.35">
      <c r="A178" s="4"/>
      <c r="B178" s="4"/>
      <c r="C178" s="4"/>
    </row>
    <row r="179" spans="1:3" ht="15.75" customHeight="1" x14ac:dyDescent="0.35">
      <c r="A179" s="4"/>
      <c r="B179" s="4"/>
      <c r="C179" s="4"/>
    </row>
    <row r="180" spans="1:3" ht="15.75" customHeight="1" x14ac:dyDescent="0.35">
      <c r="A180" s="4"/>
      <c r="B180" s="4"/>
      <c r="C180" s="4"/>
    </row>
    <row r="181" spans="1:3" ht="15.75" customHeight="1" x14ac:dyDescent="0.35">
      <c r="A181" s="4"/>
      <c r="B181" s="4"/>
      <c r="C181" s="4"/>
    </row>
    <row r="182" spans="1:3" ht="15.75" customHeight="1" x14ac:dyDescent="0.35">
      <c r="A182" s="4"/>
      <c r="B182" s="4"/>
      <c r="C182" s="4"/>
    </row>
    <row r="183" spans="1:3" ht="15.75" customHeight="1" x14ac:dyDescent="0.35">
      <c r="A183" s="4"/>
      <c r="B183" s="4"/>
      <c r="C183" s="4"/>
    </row>
    <row r="184" spans="1:3" ht="15.75" customHeight="1" x14ac:dyDescent="0.35">
      <c r="A184" s="4"/>
      <c r="B184" s="4"/>
      <c r="C184" s="4"/>
    </row>
    <row r="185" spans="1:3" ht="15.75" customHeight="1" x14ac:dyDescent="0.35">
      <c r="A185" s="4"/>
      <c r="B185" s="4"/>
      <c r="C185" s="4"/>
    </row>
    <row r="186" spans="1:3" ht="15.75" customHeight="1" x14ac:dyDescent="0.35">
      <c r="A186" s="4"/>
      <c r="B186" s="4"/>
      <c r="C186" s="4"/>
    </row>
    <row r="187" spans="1:3" ht="15.75" customHeight="1" x14ac:dyDescent="0.35">
      <c r="A187" s="4"/>
      <c r="B187" s="4"/>
      <c r="C187" s="4"/>
    </row>
    <row r="188" spans="1:3" ht="15.75" customHeight="1" x14ac:dyDescent="0.35">
      <c r="A188" s="4"/>
      <c r="B188" s="4"/>
      <c r="C188" s="4"/>
    </row>
    <row r="189" spans="1:3" ht="15.75" customHeight="1" x14ac:dyDescent="0.35">
      <c r="A189" s="4"/>
      <c r="B189" s="4"/>
      <c r="C189" s="4"/>
    </row>
    <row r="190" spans="1:3" ht="15.75" customHeight="1" x14ac:dyDescent="0.35">
      <c r="A190" s="4"/>
      <c r="B190" s="4"/>
      <c r="C190" s="4"/>
    </row>
    <row r="191" spans="1:3" ht="15.75" customHeight="1" x14ac:dyDescent="0.35">
      <c r="A191" s="4"/>
      <c r="B191" s="4"/>
      <c r="C191" s="4"/>
    </row>
    <row r="192" spans="1:3" ht="15.75" customHeight="1" x14ac:dyDescent="0.35">
      <c r="A192" s="4"/>
      <c r="B192" s="4"/>
      <c r="C192" s="4"/>
    </row>
    <row r="193" spans="1:3" ht="15.75" customHeight="1" x14ac:dyDescent="0.35">
      <c r="A193" s="4"/>
      <c r="B193" s="4"/>
      <c r="C193" s="4"/>
    </row>
    <row r="194" spans="1:3" ht="15.75" customHeight="1" x14ac:dyDescent="0.35">
      <c r="A194" s="4"/>
      <c r="B194" s="4"/>
      <c r="C194" s="4"/>
    </row>
    <row r="195" spans="1:3" ht="15.75" customHeight="1" x14ac:dyDescent="0.35">
      <c r="A195" s="4"/>
      <c r="B195" s="4"/>
      <c r="C195" s="4"/>
    </row>
    <row r="196" spans="1:3" ht="15.75" customHeight="1" x14ac:dyDescent="0.35">
      <c r="A196" s="4"/>
      <c r="B196" s="4"/>
      <c r="C196" s="4"/>
    </row>
    <row r="197" spans="1:3" ht="15.75" customHeight="1" x14ac:dyDescent="0.35">
      <c r="A197" s="4"/>
      <c r="B197" s="4"/>
      <c r="C197" s="4"/>
    </row>
    <row r="198" spans="1:3" ht="15.75" customHeight="1" x14ac:dyDescent="0.35">
      <c r="A198" s="4"/>
      <c r="B198" s="4"/>
      <c r="C198" s="4"/>
    </row>
    <row r="199" spans="1:3" ht="15.75" customHeight="1" x14ac:dyDescent="0.35">
      <c r="A199" s="4"/>
      <c r="B199" s="4"/>
      <c r="C199" s="4"/>
    </row>
    <row r="200" spans="1:3" ht="15.75" customHeight="1" x14ac:dyDescent="0.35">
      <c r="A200" s="4"/>
      <c r="B200" s="4"/>
      <c r="C200" s="4"/>
    </row>
    <row r="201" spans="1:3" ht="15.75" customHeight="1" x14ac:dyDescent="0.35">
      <c r="A201" s="4"/>
      <c r="B201" s="4"/>
      <c r="C201" s="4"/>
    </row>
    <row r="202" spans="1:3" ht="15.75" customHeight="1" x14ac:dyDescent="0.35">
      <c r="A202" s="4"/>
      <c r="B202" s="4"/>
      <c r="C202" s="4"/>
    </row>
    <row r="203" spans="1:3" ht="15.75" customHeight="1" x14ac:dyDescent="0.35">
      <c r="A203" s="4"/>
      <c r="B203" s="4"/>
      <c r="C203" s="4"/>
    </row>
    <row r="204" spans="1:3" ht="15.75" customHeight="1" x14ac:dyDescent="0.35">
      <c r="A204" s="4"/>
      <c r="B204" s="4"/>
      <c r="C204" s="4"/>
    </row>
    <row r="205" spans="1:3" ht="15.75" customHeight="1" x14ac:dyDescent="0.35">
      <c r="A205" s="4"/>
      <c r="B205" s="4"/>
      <c r="C205" s="4"/>
    </row>
    <row r="206" spans="1:3" ht="15.75" customHeight="1" x14ac:dyDescent="0.35">
      <c r="A206" s="4"/>
      <c r="B206" s="4"/>
      <c r="C206" s="4"/>
    </row>
    <row r="207" spans="1:3" ht="15.75" customHeight="1" x14ac:dyDescent="0.35">
      <c r="A207" s="4"/>
      <c r="B207" s="4"/>
      <c r="C207" s="4"/>
    </row>
    <row r="208" spans="1:3" ht="15.75" customHeight="1" x14ac:dyDescent="0.35">
      <c r="A208" s="4"/>
      <c r="B208" s="4"/>
      <c r="C208" s="4"/>
    </row>
    <row r="209" spans="1:3" ht="15.75" customHeight="1" x14ac:dyDescent="0.35">
      <c r="A209" s="4"/>
      <c r="B209" s="4"/>
      <c r="C209" s="4"/>
    </row>
    <row r="210" spans="1:3" ht="15.75" customHeight="1" x14ac:dyDescent="0.35">
      <c r="A210" s="4"/>
      <c r="B210" s="4"/>
      <c r="C210" s="4"/>
    </row>
    <row r="211" spans="1:3" ht="15.75" customHeight="1" x14ac:dyDescent="0.35">
      <c r="A211" s="4"/>
      <c r="B211" s="4"/>
      <c r="C211" s="4"/>
    </row>
    <row r="212" spans="1:3" ht="15.75" customHeight="1" x14ac:dyDescent="0.35">
      <c r="A212" s="4"/>
      <c r="B212" s="4"/>
      <c r="C212" s="4"/>
    </row>
    <row r="213" spans="1:3" ht="15.75" customHeight="1" x14ac:dyDescent="0.35">
      <c r="A213" s="4"/>
      <c r="B213" s="4"/>
      <c r="C213" s="4"/>
    </row>
    <row r="214" spans="1:3" ht="15.75" customHeight="1" x14ac:dyDescent="0.35">
      <c r="A214" s="4"/>
      <c r="B214" s="4"/>
      <c r="C214" s="4"/>
    </row>
    <row r="215" spans="1:3" ht="15.75" customHeight="1" x14ac:dyDescent="0.35">
      <c r="A215" s="4"/>
      <c r="B215" s="4"/>
      <c r="C215" s="4"/>
    </row>
    <row r="216" spans="1:3" ht="15.75" customHeight="1" x14ac:dyDescent="0.35">
      <c r="A216" s="4"/>
      <c r="B216" s="4"/>
      <c r="C216" s="4"/>
    </row>
    <row r="217" spans="1:3" ht="15.75" customHeight="1" x14ac:dyDescent="0.35">
      <c r="A217" s="4"/>
      <c r="B217" s="4"/>
      <c r="C217" s="4"/>
    </row>
    <row r="218" spans="1:3" ht="15.75" customHeight="1" x14ac:dyDescent="0.35">
      <c r="A218" s="4"/>
      <c r="B218" s="4"/>
      <c r="C218" s="4"/>
    </row>
    <row r="219" spans="1:3" ht="15.75" customHeight="1" x14ac:dyDescent="0.35">
      <c r="A219" s="4"/>
      <c r="B219" s="4"/>
      <c r="C219" s="4"/>
    </row>
    <row r="220" spans="1:3" ht="15.75" customHeight="1" x14ac:dyDescent="0.35">
      <c r="A220" s="4"/>
      <c r="B220" s="4"/>
      <c r="C220" s="4"/>
    </row>
    <row r="221" spans="1:3" ht="15.75" customHeight="1" x14ac:dyDescent="0.35">
      <c r="A221" s="4"/>
      <c r="B221" s="4"/>
      <c r="C221" s="4"/>
    </row>
    <row r="222" spans="1:3" ht="15.75" customHeight="1" x14ac:dyDescent="0.35">
      <c r="A222" s="4"/>
      <c r="B222" s="4"/>
      <c r="C222" s="4"/>
    </row>
    <row r="223" spans="1:3" ht="15.75" customHeight="1" x14ac:dyDescent="0.35">
      <c r="A223" s="4"/>
      <c r="B223" s="4"/>
      <c r="C223" s="4"/>
    </row>
    <row r="224" spans="1:3" ht="15.75" customHeight="1" x14ac:dyDescent="0.35">
      <c r="A224" s="4"/>
      <c r="B224" s="4"/>
      <c r="C224" s="4"/>
    </row>
    <row r="225" spans="1:3" ht="15.75" customHeight="1" x14ac:dyDescent="0.35">
      <c r="A225" s="4"/>
      <c r="B225" s="4"/>
      <c r="C225" s="4"/>
    </row>
    <row r="226" spans="1:3" ht="15.75" customHeight="1" x14ac:dyDescent="0.35">
      <c r="A226" s="4"/>
      <c r="B226" s="4"/>
      <c r="C226" s="4"/>
    </row>
    <row r="227" spans="1:3" ht="15.75" customHeight="1" x14ac:dyDescent="0.35">
      <c r="A227" s="4"/>
      <c r="B227" s="4"/>
      <c r="C227" s="4"/>
    </row>
    <row r="228" spans="1:3" ht="15.75" customHeight="1" x14ac:dyDescent="0.35">
      <c r="A228" s="4"/>
      <c r="B228" s="4"/>
      <c r="C228" s="4"/>
    </row>
    <row r="229" spans="1:3" ht="15.75" customHeight="1" x14ac:dyDescent="0.35">
      <c r="A229" s="4"/>
      <c r="B229" s="4"/>
      <c r="C229" s="4"/>
    </row>
    <row r="230" spans="1:3" ht="15.75" customHeight="1" x14ac:dyDescent="0.35">
      <c r="A230" s="4"/>
      <c r="B230" s="4"/>
      <c r="C230" s="4"/>
    </row>
    <row r="231" spans="1:3" ht="15.75" customHeight="1" x14ac:dyDescent="0.35">
      <c r="A231" s="4"/>
      <c r="B231" s="4"/>
      <c r="C231" s="4"/>
    </row>
    <row r="232" spans="1:3" ht="15.75" customHeight="1" x14ac:dyDescent="0.35">
      <c r="A232" s="4"/>
      <c r="B232" s="4"/>
      <c r="C232" s="4"/>
    </row>
    <row r="233" spans="1:3" ht="15.75" customHeight="1" x14ac:dyDescent="0.35">
      <c r="A233" s="4"/>
      <c r="B233" s="4"/>
      <c r="C233" s="4"/>
    </row>
    <row r="234" spans="1:3" ht="15.75" customHeight="1" x14ac:dyDescent="0.35">
      <c r="A234" s="4"/>
      <c r="B234" s="4"/>
      <c r="C234" s="4"/>
    </row>
    <row r="235" spans="1:3" ht="15.75" customHeight="1" x14ac:dyDescent="0.35">
      <c r="A235" s="4"/>
      <c r="B235" s="4"/>
      <c r="C235" s="4"/>
    </row>
    <row r="236" spans="1:3" ht="15.75" customHeight="1" x14ac:dyDescent="0.35">
      <c r="A236" s="4"/>
      <c r="B236" s="4"/>
      <c r="C236" s="4"/>
    </row>
    <row r="237" spans="1:3" ht="15.75" customHeight="1" x14ac:dyDescent="0.35">
      <c r="A237" s="4"/>
      <c r="B237" s="4"/>
      <c r="C237" s="4"/>
    </row>
    <row r="238" spans="1:3" ht="15.75" customHeight="1" x14ac:dyDescent="0.35">
      <c r="A238" s="4"/>
      <c r="B238" s="4"/>
      <c r="C238" s="4"/>
    </row>
    <row r="239" spans="1:3" ht="15.75" customHeight="1" x14ac:dyDescent="0.35">
      <c r="A239" s="4"/>
      <c r="B239" s="4"/>
      <c r="C239" s="4"/>
    </row>
    <row r="240" spans="1:3" ht="15.75" customHeight="1" x14ac:dyDescent="0.35">
      <c r="A240" s="4"/>
      <c r="B240" s="4"/>
      <c r="C240" s="4"/>
    </row>
    <row r="241" spans="1:3" ht="15.75" customHeight="1" x14ac:dyDescent="0.35">
      <c r="A241" s="4"/>
      <c r="B241" s="4"/>
      <c r="C241" s="4"/>
    </row>
    <row r="242" spans="1:3" ht="15.75" customHeight="1" x14ac:dyDescent="0.35">
      <c r="A242" s="4"/>
      <c r="B242" s="4"/>
      <c r="C242" s="4"/>
    </row>
    <row r="243" spans="1:3" ht="15.75" customHeight="1" x14ac:dyDescent="0.35">
      <c r="A243" s="4"/>
      <c r="B243" s="4"/>
      <c r="C243" s="4"/>
    </row>
    <row r="244" spans="1:3" ht="15.75" customHeight="1" x14ac:dyDescent="0.35">
      <c r="A244" s="4"/>
      <c r="B244" s="4"/>
      <c r="C244" s="4"/>
    </row>
    <row r="245" spans="1:3" ht="15.75" customHeight="1" x14ac:dyDescent="0.35">
      <c r="A245" s="4"/>
      <c r="B245" s="4"/>
      <c r="C245" s="4"/>
    </row>
    <row r="246" spans="1:3" ht="15.75" customHeight="1" x14ac:dyDescent="0.35">
      <c r="A246" s="4"/>
      <c r="B246" s="4"/>
      <c r="C246" s="4"/>
    </row>
    <row r="247" spans="1:3" ht="15.75" customHeight="1" x14ac:dyDescent="0.35">
      <c r="A247" s="4"/>
      <c r="B247" s="4"/>
      <c r="C247" s="4"/>
    </row>
    <row r="248" spans="1:3" ht="15.75" customHeight="1" x14ac:dyDescent="0.35">
      <c r="A248" s="4"/>
      <c r="B248" s="4"/>
      <c r="C248" s="4"/>
    </row>
    <row r="249" spans="1:3" ht="15.75" customHeight="1" x14ac:dyDescent="0.35">
      <c r="A249" s="4"/>
      <c r="B249" s="4"/>
      <c r="C249" s="4"/>
    </row>
    <row r="250" spans="1:3" ht="15.75" customHeight="1" x14ac:dyDescent="0.35">
      <c r="A250" s="4"/>
      <c r="B250" s="4"/>
      <c r="C250" s="4"/>
    </row>
    <row r="251" spans="1:3" ht="15.75" customHeight="1" x14ac:dyDescent="0.35">
      <c r="A251" s="4"/>
      <c r="B251" s="4"/>
      <c r="C251" s="4"/>
    </row>
    <row r="252" spans="1:3" ht="15.75" customHeight="1" x14ac:dyDescent="0.35">
      <c r="A252" s="4"/>
      <c r="B252" s="4"/>
      <c r="C252" s="4"/>
    </row>
    <row r="253" spans="1:3" ht="15.75" customHeight="1" x14ac:dyDescent="0.35">
      <c r="A253" s="4"/>
      <c r="B253" s="4"/>
      <c r="C253" s="4"/>
    </row>
    <row r="254" spans="1:3" ht="15.75" customHeight="1" x14ac:dyDescent="0.35">
      <c r="A254" s="4"/>
      <c r="B254" s="4"/>
      <c r="C254" s="4"/>
    </row>
    <row r="255" spans="1:3" ht="15.75" customHeight="1" x14ac:dyDescent="0.35">
      <c r="A255" s="4"/>
      <c r="B255" s="4"/>
      <c r="C255" s="4"/>
    </row>
    <row r="256" spans="1:3" ht="15.75" customHeight="1" x14ac:dyDescent="0.35">
      <c r="A256" s="4"/>
      <c r="B256" s="4"/>
      <c r="C256" s="4"/>
    </row>
    <row r="257" spans="1:3" ht="15.75" customHeight="1" x14ac:dyDescent="0.35">
      <c r="A257" s="4"/>
      <c r="B257" s="4"/>
      <c r="C257" s="4"/>
    </row>
    <row r="258" spans="1:3" ht="15.75" customHeight="1" x14ac:dyDescent="0.35">
      <c r="A258" s="4"/>
      <c r="B258" s="4"/>
      <c r="C258" s="4"/>
    </row>
    <row r="259" spans="1:3" ht="15.75" customHeight="1" x14ac:dyDescent="0.35">
      <c r="A259" s="4"/>
      <c r="B259" s="4"/>
      <c r="C259" s="4"/>
    </row>
    <row r="260" spans="1:3" ht="15.75" customHeight="1" x14ac:dyDescent="0.35">
      <c r="A260" s="4"/>
      <c r="B260" s="4"/>
      <c r="C260" s="4"/>
    </row>
    <row r="261" spans="1:3" ht="15.75" customHeight="1" x14ac:dyDescent="0.35">
      <c r="A261" s="4"/>
      <c r="B261" s="4"/>
      <c r="C261" s="4"/>
    </row>
    <row r="262" spans="1:3" ht="15.75" customHeight="1" x14ac:dyDescent="0.35">
      <c r="A262" s="4"/>
      <c r="B262" s="4"/>
      <c r="C262" s="4"/>
    </row>
    <row r="263" spans="1:3" ht="15.75" customHeight="1" x14ac:dyDescent="0.35">
      <c r="A263" s="4"/>
      <c r="B263" s="4"/>
      <c r="C263" s="4"/>
    </row>
    <row r="264" spans="1:3" ht="15.75" customHeight="1" x14ac:dyDescent="0.35">
      <c r="A264" s="4"/>
      <c r="B264" s="4"/>
      <c r="C264" s="4"/>
    </row>
    <row r="265" spans="1:3" ht="15.75" customHeight="1" x14ac:dyDescent="0.35">
      <c r="A265" s="4"/>
      <c r="B265" s="4"/>
      <c r="C265" s="4"/>
    </row>
    <row r="266" spans="1:3" ht="15.75" customHeight="1" x14ac:dyDescent="0.35">
      <c r="A266" s="4"/>
      <c r="B266" s="4"/>
      <c r="C266" s="4"/>
    </row>
    <row r="267" spans="1:3" ht="15.75" customHeight="1" x14ac:dyDescent="0.35">
      <c r="A267" s="4"/>
      <c r="B267" s="4"/>
      <c r="C267" s="4"/>
    </row>
    <row r="268" spans="1:3" ht="15.75" customHeight="1" x14ac:dyDescent="0.35">
      <c r="A268" s="4"/>
      <c r="B268" s="4"/>
      <c r="C268" s="4"/>
    </row>
    <row r="269" spans="1:3" ht="15.75" customHeight="1" x14ac:dyDescent="0.35">
      <c r="A269" s="4"/>
      <c r="B269" s="4"/>
      <c r="C269" s="4"/>
    </row>
    <row r="270" spans="1:3" ht="15.75" customHeight="1" x14ac:dyDescent="0.35">
      <c r="A270" s="4"/>
      <c r="B270" s="4"/>
      <c r="C270" s="4"/>
    </row>
    <row r="271" spans="1:3" ht="15.75" customHeight="1" x14ac:dyDescent="0.35">
      <c r="A271" s="4"/>
      <c r="B271" s="4"/>
      <c r="C271" s="4"/>
    </row>
    <row r="272" spans="1:3" ht="15.75" customHeight="1" x14ac:dyDescent="0.35">
      <c r="A272" s="4"/>
      <c r="B272" s="4"/>
      <c r="C272" s="4"/>
    </row>
    <row r="273" spans="1:3" ht="15.75" customHeight="1" x14ac:dyDescent="0.35">
      <c r="A273" s="4"/>
      <c r="B273" s="4"/>
      <c r="C273" s="4"/>
    </row>
    <row r="274" spans="1:3" ht="15.75" customHeight="1" x14ac:dyDescent="0.35">
      <c r="A274" s="4"/>
      <c r="B274" s="4"/>
      <c r="C274" s="4"/>
    </row>
    <row r="275" spans="1:3" ht="15.75" customHeight="1" x14ac:dyDescent="0.35">
      <c r="A275" s="4"/>
      <c r="B275" s="4"/>
      <c r="C275" s="4"/>
    </row>
    <row r="276" spans="1:3" ht="15.75" customHeight="1" x14ac:dyDescent="0.35">
      <c r="A276" s="4"/>
      <c r="B276" s="4"/>
      <c r="C276" s="4"/>
    </row>
    <row r="277" spans="1:3" ht="15.75" customHeight="1" x14ac:dyDescent="0.35">
      <c r="A277" s="4"/>
      <c r="B277" s="4"/>
      <c r="C277" s="4"/>
    </row>
    <row r="278" spans="1:3" ht="15.75" customHeight="1" x14ac:dyDescent="0.35">
      <c r="A278" s="4"/>
      <c r="B278" s="4"/>
      <c r="C278" s="4"/>
    </row>
    <row r="279" spans="1:3" ht="15.75" customHeight="1" x14ac:dyDescent="0.35">
      <c r="A279" s="4"/>
      <c r="B279" s="4"/>
      <c r="C279" s="4"/>
    </row>
    <row r="280" spans="1:3" ht="15.75" customHeight="1" x14ac:dyDescent="0.35">
      <c r="A280" s="4"/>
      <c r="B280" s="4"/>
      <c r="C280" s="4"/>
    </row>
    <row r="281" spans="1:3" ht="15.75" customHeight="1" x14ac:dyDescent="0.35">
      <c r="A281" s="4"/>
      <c r="B281" s="4"/>
      <c r="C281" s="4"/>
    </row>
    <row r="282" spans="1:3" ht="15.75" customHeight="1" x14ac:dyDescent="0.35">
      <c r="A282" s="4"/>
      <c r="B282" s="4"/>
      <c r="C282" s="4"/>
    </row>
    <row r="283" spans="1:3" ht="15.75" customHeight="1" x14ac:dyDescent="0.35">
      <c r="A283" s="4"/>
      <c r="B283" s="4"/>
      <c r="C283" s="4"/>
    </row>
    <row r="284" spans="1:3" ht="15.75" customHeight="1" x14ac:dyDescent="0.35">
      <c r="A284" s="4"/>
      <c r="B284" s="4"/>
      <c r="C284" s="4"/>
    </row>
    <row r="285" spans="1:3" ht="15.75" customHeight="1" x14ac:dyDescent="0.35">
      <c r="A285" s="4"/>
      <c r="B285" s="4"/>
      <c r="C285" s="4"/>
    </row>
    <row r="286" spans="1:3" ht="15.75" customHeight="1" x14ac:dyDescent="0.35">
      <c r="A286" s="4"/>
      <c r="B286" s="4"/>
      <c r="C286" s="4"/>
    </row>
    <row r="287" spans="1:3" ht="15.75" customHeight="1" x14ac:dyDescent="0.35">
      <c r="A287" s="4"/>
      <c r="B287" s="4"/>
      <c r="C287" s="4"/>
    </row>
    <row r="288" spans="1:3" ht="15.75" customHeight="1" x14ac:dyDescent="0.35">
      <c r="A288" s="4"/>
      <c r="B288" s="4"/>
      <c r="C288" s="4"/>
    </row>
    <row r="289" spans="1:3" ht="15.75" customHeight="1" x14ac:dyDescent="0.35">
      <c r="A289" s="4"/>
      <c r="B289" s="4"/>
      <c r="C289" s="4"/>
    </row>
    <row r="290" spans="1:3" ht="15.75" customHeight="1" x14ac:dyDescent="0.35">
      <c r="A290" s="4"/>
      <c r="B290" s="4"/>
      <c r="C290" s="4"/>
    </row>
    <row r="291" spans="1:3" ht="15.75" customHeight="1" x14ac:dyDescent="0.35">
      <c r="A291" s="4"/>
      <c r="B291" s="4"/>
      <c r="C291" s="4"/>
    </row>
    <row r="292" spans="1:3" ht="15.75" customHeight="1" x14ac:dyDescent="0.35">
      <c r="A292" s="4"/>
      <c r="B292" s="4"/>
      <c r="C292" s="4"/>
    </row>
    <row r="293" spans="1:3" ht="15.75" customHeight="1" x14ac:dyDescent="0.35">
      <c r="A293" s="4"/>
      <c r="B293" s="4"/>
      <c r="C293" s="4"/>
    </row>
    <row r="294" spans="1:3" ht="15.75" customHeight="1" x14ac:dyDescent="0.35">
      <c r="A294" s="4"/>
      <c r="B294" s="4"/>
      <c r="C294" s="4"/>
    </row>
    <row r="295" spans="1:3" ht="15.75" customHeight="1" x14ac:dyDescent="0.35">
      <c r="A295" s="4"/>
      <c r="B295" s="4"/>
      <c r="C295" s="4"/>
    </row>
    <row r="296" spans="1:3" ht="15.75" customHeight="1" x14ac:dyDescent="0.35">
      <c r="A296" s="4"/>
      <c r="B296" s="4"/>
      <c r="C296" s="4"/>
    </row>
    <row r="297" spans="1:3" ht="15.75" customHeight="1" x14ac:dyDescent="0.35">
      <c r="A297" s="4"/>
      <c r="B297" s="4"/>
      <c r="C297" s="4"/>
    </row>
    <row r="298" spans="1:3" ht="15.75" customHeight="1" x14ac:dyDescent="0.35">
      <c r="A298" s="4"/>
      <c r="B298" s="4"/>
      <c r="C298" s="4"/>
    </row>
    <row r="299" spans="1:3" ht="15.75" customHeight="1" x14ac:dyDescent="0.35">
      <c r="A299" s="4"/>
      <c r="B299" s="4"/>
      <c r="C299" s="4"/>
    </row>
    <row r="300" spans="1:3" ht="15.75" customHeight="1" x14ac:dyDescent="0.35">
      <c r="A300" s="4"/>
      <c r="B300" s="4"/>
      <c r="C300" s="4"/>
    </row>
    <row r="301" spans="1:3" ht="15.75" customHeight="1" x14ac:dyDescent="0.35">
      <c r="A301" s="4"/>
      <c r="B301" s="4"/>
      <c r="C301" s="4"/>
    </row>
    <row r="302" spans="1:3" ht="15.75" customHeight="1" x14ac:dyDescent="0.35">
      <c r="A302" s="4"/>
      <c r="B302" s="4"/>
      <c r="C302" s="4"/>
    </row>
    <row r="303" spans="1:3" ht="15.75" customHeight="1" x14ac:dyDescent="0.35">
      <c r="A303" s="4"/>
      <c r="B303" s="4"/>
      <c r="C303" s="4"/>
    </row>
    <row r="304" spans="1:3" ht="15.75" customHeight="1" x14ac:dyDescent="0.35">
      <c r="A304" s="4"/>
      <c r="B304" s="4"/>
      <c r="C304" s="4"/>
    </row>
    <row r="305" spans="1:3" ht="15.75" customHeight="1" x14ac:dyDescent="0.35">
      <c r="A305" s="4"/>
      <c r="B305" s="4"/>
      <c r="C305" s="4"/>
    </row>
    <row r="306" spans="1:3" ht="15.75" customHeight="1" x14ac:dyDescent="0.35">
      <c r="A306" s="4"/>
      <c r="B306" s="4"/>
      <c r="C306" s="4"/>
    </row>
    <row r="307" spans="1:3" ht="15.75" customHeight="1" x14ac:dyDescent="0.35">
      <c r="A307" s="4"/>
      <c r="B307" s="4"/>
      <c r="C307" s="4"/>
    </row>
    <row r="308" spans="1:3" ht="15.75" customHeight="1" x14ac:dyDescent="0.35">
      <c r="A308" s="4"/>
      <c r="B308" s="4"/>
      <c r="C308" s="4"/>
    </row>
    <row r="309" spans="1:3" ht="15.75" customHeight="1" x14ac:dyDescent="0.35">
      <c r="A309" s="4"/>
      <c r="B309" s="4"/>
      <c r="C309" s="4"/>
    </row>
    <row r="310" spans="1:3" ht="15.75" customHeight="1" x14ac:dyDescent="0.35">
      <c r="A310" s="4"/>
      <c r="B310" s="4"/>
      <c r="C310" s="4"/>
    </row>
    <row r="311" spans="1:3" ht="15.75" customHeight="1" x14ac:dyDescent="0.35">
      <c r="A311" s="4"/>
      <c r="B311" s="4"/>
      <c r="C311" s="4"/>
    </row>
    <row r="312" spans="1:3" ht="15.75" customHeight="1" x14ac:dyDescent="0.35">
      <c r="A312" s="4"/>
      <c r="B312" s="4"/>
      <c r="C312" s="4"/>
    </row>
    <row r="313" spans="1:3" ht="15.75" customHeight="1" x14ac:dyDescent="0.35">
      <c r="A313" s="4"/>
      <c r="B313" s="4"/>
      <c r="C313" s="4"/>
    </row>
    <row r="314" spans="1:3" ht="15.75" customHeight="1" x14ac:dyDescent="0.35">
      <c r="A314" s="4"/>
      <c r="B314" s="4"/>
      <c r="C314" s="4"/>
    </row>
    <row r="315" spans="1:3" ht="15.75" customHeight="1" x14ac:dyDescent="0.35">
      <c r="A315" s="4"/>
      <c r="B315" s="4"/>
      <c r="C315" s="4"/>
    </row>
    <row r="316" spans="1:3" ht="15.75" customHeight="1" x14ac:dyDescent="0.35">
      <c r="A316" s="4"/>
      <c r="B316" s="4"/>
      <c r="C316" s="4"/>
    </row>
    <row r="317" spans="1:3" ht="15.75" customHeight="1" x14ac:dyDescent="0.35">
      <c r="A317" s="4"/>
      <c r="B317" s="4"/>
      <c r="C317" s="4"/>
    </row>
    <row r="318" spans="1:3" ht="15.75" customHeight="1" x14ac:dyDescent="0.35">
      <c r="A318" s="4"/>
      <c r="B318" s="4"/>
      <c r="C318" s="4"/>
    </row>
    <row r="319" spans="1:3" ht="15.75" customHeight="1" x14ac:dyDescent="0.35">
      <c r="A319" s="4"/>
      <c r="B319" s="4"/>
      <c r="C319" s="4"/>
    </row>
    <row r="320" spans="1:3" ht="15.75" customHeight="1" x14ac:dyDescent="0.35">
      <c r="A320" s="4"/>
      <c r="B320" s="4"/>
      <c r="C320" s="4"/>
    </row>
    <row r="321" spans="1:3" ht="15.75" customHeight="1" x14ac:dyDescent="0.35">
      <c r="A321" s="4"/>
      <c r="B321" s="4"/>
      <c r="C321" s="4"/>
    </row>
    <row r="322" spans="1:3" ht="15.75" customHeight="1" x14ac:dyDescent="0.35">
      <c r="A322" s="4"/>
      <c r="B322" s="4"/>
      <c r="C322" s="4"/>
    </row>
    <row r="323" spans="1:3" ht="15.75" customHeight="1" x14ac:dyDescent="0.35">
      <c r="A323" s="4"/>
      <c r="B323" s="4"/>
      <c r="C323" s="4"/>
    </row>
    <row r="324" spans="1:3" ht="15.75" customHeight="1" x14ac:dyDescent="0.35">
      <c r="A324" s="4"/>
      <c r="B324" s="4"/>
      <c r="C324" s="4"/>
    </row>
    <row r="325" spans="1:3" ht="15.75" customHeight="1" x14ac:dyDescent="0.35">
      <c r="A325" s="4"/>
      <c r="B325" s="4"/>
      <c r="C325" s="4"/>
    </row>
    <row r="326" spans="1:3" ht="15.75" customHeight="1" x14ac:dyDescent="0.35">
      <c r="A326" s="4"/>
      <c r="B326" s="4"/>
      <c r="C326" s="4"/>
    </row>
    <row r="327" spans="1:3" ht="15.75" customHeight="1" x14ac:dyDescent="0.35">
      <c r="A327" s="4"/>
      <c r="B327" s="4"/>
      <c r="C327" s="4"/>
    </row>
    <row r="328" spans="1:3" ht="15.75" customHeight="1" x14ac:dyDescent="0.35">
      <c r="A328" s="4"/>
      <c r="B328" s="4"/>
      <c r="C328" s="4"/>
    </row>
    <row r="329" spans="1:3" ht="15.75" customHeight="1" x14ac:dyDescent="0.35">
      <c r="A329" s="4"/>
      <c r="B329" s="4"/>
      <c r="C329" s="4"/>
    </row>
    <row r="330" spans="1:3" ht="15.75" customHeight="1" x14ac:dyDescent="0.35">
      <c r="A330" s="4"/>
      <c r="B330" s="4"/>
      <c r="C330" s="4"/>
    </row>
    <row r="331" spans="1:3" ht="15.75" customHeight="1" x14ac:dyDescent="0.35">
      <c r="A331" s="4"/>
      <c r="B331" s="4"/>
      <c r="C331" s="4"/>
    </row>
    <row r="332" spans="1:3" ht="15.75" customHeight="1" x14ac:dyDescent="0.35">
      <c r="A332" s="4"/>
      <c r="B332" s="4"/>
      <c r="C332" s="4"/>
    </row>
    <row r="333" spans="1:3" ht="15.75" customHeight="1" x14ac:dyDescent="0.35">
      <c r="A333" s="4"/>
      <c r="B333" s="4"/>
      <c r="C333" s="4"/>
    </row>
    <row r="334" spans="1:3" ht="15.75" customHeight="1" x14ac:dyDescent="0.35">
      <c r="A334" s="4"/>
      <c r="B334" s="4"/>
      <c r="C334" s="4"/>
    </row>
    <row r="335" spans="1:3" ht="15.75" customHeight="1" x14ac:dyDescent="0.35">
      <c r="A335" s="4"/>
      <c r="B335" s="4"/>
      <c r="C335" s="4"/>
    </row>
    <row r="336" spans="1:3" ht="15.75" customHeight="1" x14ac:dyDescent="0.35">
      <c r="A336" s="4"/>
      <c r="B336" s="4"/>
      <c r="C336" s="4"/>
    </row>
    <row r="337" spans="1:3" ht="15.75" customHeight="1" x14ac:dyDescent="0.35">
      <c r="A337" s="4"/>
      <c r="B337" s="4"/>
      <c r="C337" s="4"/>
    </row>
    <row r="338" spans="1:3" ht="15.75" customHeight="1" x14ac:dyDescent="0.35">
      <c r="A338" s="4"/>
      <c r="B338" s="4"/>
      <c r="C338" s="4"/>
    </row>
    <row r="339" spans="1:3" ht="15.75" customHeight="1" x14ac:dyDescent="0.35">
      <c r="A339" s="4"/>
      <c r="B339" s="4"/>
      <c r="C339" s="4"/>
    </row>
    <row r="340" spans="1:3" ht="15.75" customHeight="1" x14ac:dyDescent="0.35">
      <c r="A340" s="4"/>
      <c r="B340" s="4"/>
      <c r="C340" s="4"/>
    </row>
    <row r="341" spans="1:3" ht="15.75" customHeight="1" x14ac:dyDescent="0.35">
      <c r="A341" s="4"/>
      <c r="B341" s="4"/>
      <c r="C341" s="4"/>
    </row>
    <row r="342" spans="1:3" ht="15.75" customHeight="1" x14ac:dyDescent="0.35">
      <c r="A342" s="4"/>
      <c r="B342" s="4"/>
      <c r="C342" s="4"/>
    </row>
    <row r="343" spans="1:3" ht="15.75" customHeight="1" x14ac:dyDescent="0.35">
      <c r="A343" s="4"/>
      <c r="B343" s="4"/>
      <c r="C343" s="4"/>
    </row>
    <row r="344" spans="1:3" ht="15.75" customHeight="1" x14ac:dyDescent="0.35">
      <c r="A344" s="4"/>
      <c r="B344" s="4"/>
      <c r="C344" s="4"/>
    </row>
    <row r="345" spans="1:3" ht="15.75" customHeight="1" x14ac:dyDescent="0.35">
      <c r="A345" s="4"/>
      <c r="B345" s="4"/>
      <c r="C345" s="4"/>
    </row>
    <row r="346" spans="1:3" ht="15.75" customHeight="1" x14ac:dyDescent="0.35">
      <c r="A346" s="4"/>
      <c r="B346" s="4"/>
      <c r="C346" s="4"/>
    </row>
    <row r="347" spans="1:3" ht="15.75" customHeight="1" x14ac:dyDescent="0.35">
      <c r="A347" s="4"/>
      <c r="B347" s="4"/>
      <c r="C347" s="4"/>
    </row>
    <row r="348" spans="1:3" ht="15.75" customHeight="1" x14ac:dyDescent="0.35">
      <c r="A348" s="4"/>
      <c r="B348" s="4"/>
      <c r="C348" s="4"/>
    </row>
    <row r="349" spans="1:3" ht="15.75" customHeight="1" x14ac:dyDescent="0.35">
      <c r="A349" s="4"/>
      <c r="B349" s="4"/>
      <c r="C349" s="4"/>
    </row>
    <row r="350" spans="1:3" ht="15.75" customHeight="1" x14ac:dyDescent="0.35">
      <c r="A350" s="4"/>
      <c r="B350" s="4"/>
      <c r="C350" s="4"/>
    </row>
    <row r="351" spans="1:3" ht="15.75" customHeight="1" x14ac:dyDescent="0.35">
      <c r="A351" s="4"/>
      <c r="B351" s="4"/>
      <c r="C351" s="4"/>
    </row>
    <row r="352" spans="1:3" ht="15.75" customHeight="1" x14ac:dyDescent="0.35">
      <c r="A352" s="4"/>
      <c r="B352" s="4"/>
      <c r="C352" s="4"/>
    </row>
    <row r="353" spans="1:3" ht="15.75" customHeight="1" x14ac:dyDescent="0.35">
      <c r="A353" s="4"/>
      <c r="B353" s="4"/>
      <c r="C353" s="4"/>
    </row>
    <row r="354" spans="1:3" ht="15.75" customHeight="1" x14ac:dyDescent="0.35">
      <c r="A354" s="4"/>
      <c r="B354" s="4"/>
      <c r="C354" s="4"/>
    </row>
    <row r="355" spans="1:3" ht="15.75" customHeight="1" x14ac:dyDescent="0.35">
      <c r="A355" s="4"/>
      <c r="B355" s="4"/>
      <c r="C355" s="4"/>
    </row>
    <row r="356" spans="1:3" ht="15.75" customHeight="1" x14ac:dyDescent="0.35">
      <c r="A356" s="4"/>
      <c r="B356" s="4"/>
      <c r="C356" s="4"/>
    </row>
    <row r="357" spans="1:3" ht="15.75" customHeight="1" x14ac:dyDescent="0.35">
      <c r="A357" s="4"/>
      <c r="B357" s="4"/>
      <c r="C357" s="4"/>
    </row>
    <row r="358" spans="1:3" ht="15.75" customHeight="1" x14ac:dyDescent="0.35">
      <c r="A358" s="4"/>
      <c r="B358" s="4"/>
      <c r="C358" s="4"/>
    </row>
    <row r="359" spans="1:3" ht="15.75" customHeight="1" x14ac:dyDescent="0.35">
      <c r="A359" s="4"/>
      <c r="B359" s="4"/>
      <c r="C359" s="4"/>
    </row>
    <row r="360" spans="1:3" ht="15.75" customHeight="1" x14ac:dyDescent="0.35">
      <c r="A360" s="4"/>
      <c r="B360" s="4"/>
      <c r="C360" s="4"/>
    </row>
    <row r="361" spans="1:3" ht="15.75" customHeight="1" x14ac:dyDescent="0.35">
      <c r="A361" s="4"/>
      <c r="B361" s="4"/>
      <c r="C361" s="4"/>
    </row>
    <row r="362" spans="1:3" ht="15.75" customHeight="1" x14ac:dyDescent="0.35">
      <c r="A362" s="4"/>
      <c r="B362" s="4"/>
      <c r="C362" s="4"/>
    </row>
    <row r="363" spans="1:3" ht="15.75" customHeight="1" x14ac:dyDescent="0.35">
      <c r="A363" s="4"/>
      <c r="B363" s="4"/>
      <c r="C363" s="4"/>
    </row>
    <row r="364" spans="1:3" ht="15.75" customHeight="1" x14ac:dyDescent="0.35">
      <c r="A364" s="4"/>
      <c r="B364" s="4"/>
      <c r="C364" s="4"/>
    </row>
    <row r="365" spans="1:3" ht="15.75" customHeight="1" x14ac:dyDescent="0.35">
      <c r="A365" s="4"/>
      <c r="B365" s="4"/>
      <c r="C365" s="4"/>
    </row>
    <row r="366" spans="1:3" ht="15.75" customHeight="1" x14ac:dyDescent="0.35">
      <c r="A366" s="4"/>
      <c r="B366" s="4"/>
      <c r="C366" s="4"/>
    </row>
    <row r="367" spans="1:3" ht="15.75" customHeight="1" x14ac:dyDescent="0.35">
      <c r="A367" s="4"/>
      <c r="B367" s="4"/>
      <c r="C367" s="4"/>
    </row>
    <row r="368" spans="1:3" ht="15.75" customHeight="1" x14ac:dyDescent="0.35">
      <c r="A368" s="4"/>
      <c r="B368" s="4"/>
      <c r="C368" s="4"/>
    </row>
    <row r="369" spans="1:3" ht="15.75" customHeight="1" x14ac:dyDescent="0.35">
      <c r="A369" s="4"/>
      <c r="B369" s="4"/>
      <c r="C369" s="4"/>
    </row>
    <row r="370" spans="1:3" ht="15.75" customHeight="1" x14ac:dyDescent="0.35">
      <c r="A370" s="4"/>
      <c r="B370" s="4"/>
      <c r="C370" s="4"/>
    </row>
    <row r="371" spans="1:3" ht="15.75" customHeight="1" x14ac:dyDescent="0.35">
      <c r="A371" s="4"/>
      <c r="B371" s="4"/>
      <c r="C371" s="4"/>
    </row>
    <row r="372" spans="1:3" ht="15.75" customHeight="1" x14ac:dyDescent="0.35">
      <c r="A372" s="4"/>
      <c r="B372" s="4"/>
      <c r="C372" s="4"/>
    </row>
    <row r="373" spans="1:3" ht="15.75" customHeight="1" x14ac:dyDescent="0.35">
      <c r="A373" s="4"/>
      <c r="B373" s="4"/>
      <c r="C373" s="4"/>
    </row>
    <row r="374" spans="1:3" ht="15.75" customHeight="1" x14ac:dyDescent="0.35">
      <c r="A374" s="4"/>
      <c r="B374" s="4"/>
      <c r="C374" s="4"/>
    </row>
    <row r="375" spans="1:3" ht="15.75" customHeight="1" x14ac:dyDescent="0.35">
      <c r="A375" s="4"/>
      <c r="B375" s="4"/>
      <c r="C375" s="4"/>
    </row>
    <row r="376" spans="1:3" ht="15.75" customHeight="1" x14ac:dyDescent="0.35">
      <c r="A376" s="4"/>
      <c r="B376" s="4"/>
      <c r="C376" s="4"/>
    </row>
    <row r="377" spans="1:3" ht="15.75" customHeight="1" x14ac:dyDescent="0.35">
      <c r="A377" s="4"/>
      <c r="B377" s="4"/>
      <c r="C377" s="4"/>
    </row>
    <row r="378" spans="1:3" ht="15.75" customHeight="1" x14ac:dyDescent="0.35">
      <c r="A378" s="4"/>
      <c r="B378" s="4"/>
      <c r="C378" s="4"/>
    </row>
    <row r="379" spans="1:3" ht="15.75" customHeight="1" x14ac:dyDescent="0.35">
      <c r="A379" s="4"/>
      <c r="B379" s="4"/>
      <c r="C379" s="4"/>
    </row>
    <row r="380" spans="1:3" ht="15.75" customHeight="1" x14ac:dyDescent="0.35">
      <c r="A380" s="4"/>
      <c r="B380" s="4"/>
      <c r="C380" s="4"/>
    </row>
    <row r="381" spans="1:3" ht="15.75" customHeight="1" x14ac:dyDescent="0.35">
      <c r="A381" s="4"/>
      <c r="B381" s="4"/>
      <c r="C381" s="4"/>
    </row>
    <row r="382" spans="1:3" ht="15.75" customHeight="1" x14ac:dyDescent="0.35">
      <c r="A382" s="4"/>
      <c r="B382" s="4"/>
      <c r="C382" s="4"/>
    </row>
    <row r="383" spans="1:3" ht="15.75" customHeight="1" x14ac:dyDescent="0.35">
      <c r="A383" s="4"/>
      <c r="B383" s="4"/>
      <c r="C383" s="4"/>
    </row>
    <row r="384" spans="1:3" ht="15.75" customHeight="1" x14ac:dyDescent="0.35">
      <c r="A384" s="4"/>
      <c r="B384" s="4"/>
      <c r="C384" s="4"/>
    </row>
    <row r="385" spans="1:3" ht="15.75" customHeight="1" x14ac:dyDescent="0.35">
      <c r="A385" s="4"/>
      <c r="B385" s="4"/>
      <c r="C385" s="4"/>
    </row>
    <row r="386" spans="1:3" ht="15.75" customHeight="1" x14ac:dyDescent="0.35">
      <c r="A386" s="4"/>
      <c r="B386" s="4"/>
      <c r="C386" s="4"/>
    </row>
    <row r="387" spans="1:3" ht="15.75" customHeight="1" x14ac:dyDescent="0.35">
      <c r="A387" s="4"/>
      <c r="B387" s="4"/>
      <c r="C387" s="4"/>
    </row>
    <row r="388" spans="1:3" ht="15.75" customHeight="1" x14ac:dyDescent="0.35">
      <c r="A388" s="4"/>
      <c r="B388" s="4"/>
      <c r="C388" s="4"/>
    </row>
    <row r="389" spans="1:3" ht="15.75" customHeight="1" x14ac:dyDescent="0.35">
      <c r="A389" s="4"/>
      <c r="B389" s="4"/>
      <c r="C389" s="4"/>
    </row>
    <row r="390" spans="1:3" ht="15.75" customHeight="1" x14ac:dyDescent="0.35">
      <c r="A390" s="4"/>
      <c r="B390" s="4"/>
      <c r="C390" s="4"/>
    </row>
    <row r="391" spans="1:3" ht="15.75" customHeight="1" x14ac:dyDescent="0.35">
      <c r="A391" s="4"/>
      <c r="B391" s="4"/>
      <c r="C391" s="4"/>
    </row>
    <row r="392" spans="1:3" ht="15.75" customHeight="1" x14ac:dyDescent="0.35">
      <c r="A392" s="4"/>
      <c r="B392" s="4"/>
      <c r="C392" s="4"/>
    </row>
    <row r="393" spans="1:3" ht="15.75" customHeight="1" x14ac:dyDescent="0.35">
      <c r="A393" s="4"/>
      <c r="B393" s="4"/>
      <c r="C393" s="4"/>
    </row>
    <row r="394" spans="1:3" ht="15.75" customHeight="1" x14ac:dyDescent="0.35">
      <c r="A394" s="4"/>
      <c r="B394" s="4"/>
      <c r="C394" s="4"/>
    </row>
    <row r="395" spans="1:3" ht="15.75" customHeight="1" x14ac:dyDescent="0.35">
      <c r="A395" s="4"/>
      <c r="B395" s="4"/>
      <c r="C395" s="4"/>
    </row>
    <row r="396" spans="1:3" ht="15.75" customHeight="1" x14ac:dyDescent="0.35">
      <c r="A396" s="4"/>
      <c r="B396" s="4"/>
      <c r="C396" s="4"/>
    </row>
    <row r="397" spans="1:3" ht="15.75" customHeight="1" x14ac:dyDescent="0.35">
      <c r="A397" s="4"/>
      <c r="B397" s="4"/>
      <c r="C397" s="4"/>
    </row>
    <row r="398" spans="1:3" ht="15.75" customHeight="1" x14ac:dyDescent="0.35">
      <c r="A398" s="4"/>
      <c r="B398" s="4"/>
      <c r="C398" s="4"/>
    </row>
    <row r="399" spans="1:3" ht="15.75" customHeight="1" x14ac:dyDescent="0.35">
      <c r="A399" s="4"/>
      <c r="B399" s="4"/>
      <c r="C399" s="4"/>
    </row>
    <row r="400" spans="1:3" ht="15.75" customHeight="1" x14ac:dyDescent="0.35">
      <c r="A400" s="4"/>
      <c r="B400" s="4"/>
      <c r="C400" s="4"/>
    </row>
    <row r="401" spans="1:3" ht="15.75" customHeight="1" x14ac:dyDescent="0.35">
      <c r="A401" s="4"/>
      <c r="B401" s="4"/>
      <c r="C401" s="4"/>
    </row>
    <row r="402" spans="1:3" ht="15.75" customHeight="1" x14ac:dyDescent="0.35">
      <c r="A402" s="4"/>
      <c r="B402" s="4"/>
      <c r="C402" s="4"/>
    </row>
    <row r="403" spans="1:3" ht="15.75" customHeight="1" x14ac:dyDescent="0.35">
      <c r="A403" s="4"/>
      <c r="B403" s="4"/>
      <c r="C403" s="4"/>
    </row>
    <row r="404" spans="1:3" ht="15.75" customHeight="1" x14ac:dyDescent="0.35">
      <c r="A404" s="4"/>
      <c r="B404" s="4"/>
      <c r="C404" s="4"/>
    </row>
    <row r="405" spans="1:3" ht="15.75" customHeight="1" x14ac:dyDescent="0.35">
      <c r="A405" s="4"/>
      <c r="B405" s="4"/>
      <c r="C405" s="4"/>
    </row>
    <row r="406" spans="1:3" ht="15.75" customHeight="1" x14ac:dyDescent="0.35">
      <c r="A406" s="4"/>
      <c r="B406" s="4"/>
      <c r="C406" s="4"/>
    </row>
    <row r="407" spans="1:3" ht="15.75" customHeight="1" x14ac:dyDescent="0.35">
      <c r="A407" s="4"/>
      <c r="B407" s="4"/>
      <c r="C407" s="4"/>
    </row>
    <row r="408" spans="1:3" ht="15.75" customHeight="1" x14ac:dyDescent="0.35">
      <c r="A408" s="4"/>
      <c r="B408" s="4"/>
      <c r="C408" s="4"/>
    </row>
    <row r="409" spans="1:3" ht="15.75" customHeight="1" x14ac:dyDescent="0.35">
      <c r="A409" s="4"/>
      <c r="B409" s="4"/>
      <c r="C409" s="4"/>
    </row>
    <row r="410" spans="1:3" ht="15.75" customHeight="1" x14ac:dyDescent="0.35">
      <c r="A410" s="4"/>
      <c r="B410" s="4"/>
      <c r="C410" s="4"/>
    </row>
    <row r="411" spans="1:3" ht="15.75" customHeight="1" x14ac:dyDescent="0.35">
      <c r="A411" s="4"/>
      <c r="B411" s="4"/>
      <c r="C411" s="4"/>
    </row>
    <row r="412" spans="1:3" ht="15.75" customHeight="1" x14ac:dyDescent="0.35">
      <c r="A412" s="4"/>
      <c r="B412" s="4"/>
      <c r="C412" s="4"/>
    </row>
    <row r="413" spans="1:3" ht="15.75" customHeight="1" x14ac:dyDescent="0.35">
      <c r="A413" s="4"/>
      <c r="B413" s="4"/>
      <c r="C413" s="4"/>
    </row>
    <row r="414" spans="1:3" ht="15.75" customHeight="1" x14ac:dyDescent="0.35">
      <c r="A414" s="4"/>
      <c r="B414" s="4"/>
      <c r="C414" s="4"/>
    </row>
    <row r="415" spans="1:3" ht="15.75" customHeight="1" x14ac:dyDescent="0.35">
      <c r="A415" s="4"/>
      <c r="B415" s="4"/>
      <c r="C415" s="4"/>
    </row>
    <row r="416" spans="1:3" ht="15.75" customHeight="1" x14ac:dyDescent="0.35">
      <c r="A416" s="4"/>
      <c r="B416" s="4"/>
      <c r="C416" s="4"/>
    </row>
    <row r="417" spans="1:3" ht="15.75" customHeight="1" x14ac:dyDescent="0.35">
      <c r="A417" s="4"/>
      <c r="B417" s="4"/>
      <c r="C417" s="4"/>
    </row>
    <row r="418" spans="1:3" ht="15.75" customHeight="1" x14ac:dyDescent="0.35">
      <c r="A418" s="4"/>
      <c r="B418" s="4"/>
      <c r="C418" s="4"/>
    </row>
    <row r="419" spans="1:3" ht="15.75" customHeight="1" x14ac:dyDescent="0.35">
      <c r="A419" s="4"/>
      <c r="B419" s="4"/>
      <c r="C419" s="4"/>
    </row>
    <row r="420" spans="1:3" ht="15.75" customHeight="1" x14ac:dyDescent="0.35">
      <c r="A420" s="4"/>
      <c r="B420" s="4"/>
      <c r="C420" s="4"/>
    </row>
    <row r="421" spans="1:3" ht="15.75" customHeight="1" x14ac:dyDescent="0.35">
      <c r="A421" s="4"/>
      <c r="B421" s="4"/>
      <c r="C421" s="4"/>
    </row>
    <row r="422" spans="1:3" ht="15.75" customHeight="1" x14ac:dyDescent="0.35">
      <c r="A422" s="4"/>
      <c r="B422" s="4"/>
      <c r="C422" s="4"/>
    </row>
    <row r="423" spans="1:3" ht="15.75" customHeight="1" x14ac:dyDescent="0.35">
      <c r="A423" s="4"/>
      <c r="B423" s="4"/>
      <c r="C423" s="4"/>
    </row>
    <row r="424" spans="1:3" ht="15.75" customHeight="1" x14ac:dyDescent="0.35">
      <c r="A424" s="4"/>
      <c r="B424" s="4"/>
      <c r="C424" s="4"/>
    </row>
    <row r="425" spans="1:3" ht="15.75" customHeight="1" x14ac:dyDescent="0.35">
      <c r="A425" s="4"/>
      <c r="B425" s="4"/>
      <c r="C425" s="4"/>
    </row>
    <row r="426" spans="1:3" ht="15.75" customHeight="1" x14ac:dyDescent="0.35">
      <c r="A426" s="4"/>
      <c r="B426" s="4"/>
      <c r="C426" s="4"/>
    </row>
    <row r="427" spans="1:3" ht="15.75" customHeight="1" x14ac:dyDescent="0.35">
      <c r="A427" s="4"/>
      <c r="B427" s="4"/>
      <c r="C427" s="4"/>
    </row>
    <row r="428" spans="1:3" ht="15.75" customHeight="1" x14ac:dyDescent="0.35">
      <c r="A428" s="4"/>
      <c r="B428" s="4"/>
      <c r="C428" s="4"/>
    </row>
    <row r="429" spans="1:3" ht="15.75" customHeight="1" x14ac:dyDescent="0.35">
      <c r="A429" s="4"/>
      <c r="B429" s="4"/>
      <c r="C429" s="4"/>
    </row>
    <row r="430" spans="1:3" ht="15.75" customHeight="1" x14ac:dyDescent="0.35">
      <c r="A430" s="4"/>
      <c r="B430" s="4"/>
      <c r="C430" s="4"/>
    </row>
    <row r="431" spans="1:3" ht="15.75" customHeight="1" x14ac:dyDescent="0.35">
      <c r="A431" s="4"/>
      <c r="B431" s="4"/>
      <c r="C431" s="4"/>
    </row>
    <row r="432" spans="1:3" ht="15.75" customHeight="1" x14ac:dyDescent="0.35">
      <c r="A432" s="4"/>
      <c r="B432" s="4"/>
      <c r="C432" s="4"/>
    </row>
    <row r="433" spans="1:3" ht="15.75" customHeight="1" x14ac:dyDescent="0.35">
      <c r="A433" s="4"/>
      <c r="B433" s="4"/>
      <c r="C433" s="4"/>
    </row>
    <row r="434" spans="1:3" ht="15.75" customHeight="1" x14ac:dyDescent="0.35">
      <c r="A434" s="4"/>
      <c r="B434" s="4"/>
      <c r="C434" s="4"/>
    </row>
    <row r="435" spans="1:3" ht="15.75" customHeight="1" x14ac:dyDescent="0.35">
      <c r="A435" s="4"/>
      <c r="B435" s="4"/>
      <c r="C435" s="4"/>
    </row>
    <row r="436" spans="1:3" ht="15.75" customHeight="1" x14ac:dyDescent="0.35">
      <c r="A436" s="4"/>
      <c r="B436" s="4"/>
      <c r="C436" s="4"/>
    </row>
    <row r="437" spans="1:3" ht="15.75" customHeight="1" x14ac:dyDescent="0.35">
      <c r="A437" s="4"/>
      <c r="B437" s="4"/>
      <c r="C437" s="4"/>
    </row>
    <row r="438" spans="1:3" ht="15.75" customHeight="1" x14ac:dyDescent="0.35">
      <c r="A438" s="4"/>
      <c r="B438" s="4"/>
      <c r="C438" s="4"/>
    </row>
    <row r="439" spans="1:3" ht="15.75" customHeight="1" x14ac:dyDescent="0.35">
      <c r="A439" s="4"/>
      <c r="B439" s="4"/>
      <c r="C439" s="4"/>
    </row>
    <row r="440" spans="1:3" ht="15.75" customHeight="1" x14ac:dyDescent="0.35">
      <c r="A440" s="4"/>
      <c r="B440" s="4"/>
      <c r="C440" s="4"/>
    </row>
    <row r="441" spans="1:3" ht="15.75" customHeight="1" x14ac:dyDescent="0.35">
      <c r="A441" s="4"/>
      <c r="B441" s="4"/>
      <c r="C441" s="4"/>
    </row>
    <row r="442" spans="1:3" ht="15.75" customHeight="1" x14ac:dyDescent="0.35">
      <c r="A442" s="4"/>
      <c r="B442" s="4"/>
      <c r="C442" s="4"/>
    </row>
    <row r="443" spans="1:3" ht="15.75" customHeight="1" x14ac:dyDescent="0.35">
      <c r="A443" s="4"/>
      <c r="B443" s="4"/>
      <c r="C443" s="4"/>
    </row>
    <row r="444" spans="1:3" ht="15.75" customHeight="1" x14ac:dyDescent="0.35">
      <c r="A444" s="4"/>
      <c r="B444" s="4"/>
      <c r="C444" s="4"/>
    </row>
    <row r="445" spans="1:3" ht="15.75" customHeight="1" x14ac:dyDescent="0.35">
      <c r="A445" s="4"/>
      <c r="B445" s="4"/>
      <c r="C445" s="4"/>
    </row>
    <row r="446" spans="1:3" ht="15.75" customHeight="1" x14ac:dyDescent="0.35">
      <c r="A446" s="4"/>
      <c r="B446" s="4"/>
      <c r="C446" s="4"/>
    </row>
    <row r="447" spans="1:3" ht="15.75" customHeight="1" x14ac:dyDescent="0.35">
      <c r="A447" s="4"/>
      <c r="B447" s="4"/>
      <c r="C447" s="4"/>
    </row>
    <row r="448" spans="1:3" ht="15.75" customHeight="1" x14ac:dyDescent="0.35">
      <c r="A448" s="4"/>
      <c r="B448" s="4"/>
      <c r="C448" s="4"/>
    </row>
    <row r="449" spans="1:3" ht="15.75" customHeight="1" x14ac:dyDescent="0.35">
      <c r="A449" s="4"/>
      <c r="B449" s="4"/>
      <c r="C449" s="4"/>
    </row>
    <row r="450" spans="1:3" ht="15.75" customHeight="1" x14ac:dyDescent="0.35">
      <c r="A450" s="4"/>
      <c r="B450" s="4"/>
      <c r="C450" s="4"/>
    </row>
    <row r="451" spans="1:3" ht="15.75" customHeight="1" x14ac:dyDescent="0.35">
      <c r="A451" s="4"/>
      <c r="B451" s="4"/>
      <c r="C451" s="4"/>
    </row>
    <row r="452" spans="1:3" ht="15.75" customHeight="1" x14ac:dyDescent="0.35">
      <c r="A452" s="4"/>
      <c r="B452" s="4"/>
      <c r="C452" s="4"/>
    </row>
    <row r="453" spans="1:3" ht="15.75" customHeight="1" x14ac:dyDescent="0.35">
      <c r="A453" s="4"/>
      <c r="B453" s="4"/>
      <c r="C453" s="4"/>
    </row>
    <row r="454" spans="1:3" ht="15.75" customHeight="1" x14ac:dyDescent="0.35">
      <c r="A454" s="4"/>
      <c r="B454" s="4"/>
      <c r="C454" s="4"/>
    </row>
    <row r="455" spans="1:3" ht="15.75" customHeight="1" x14ac:dyDescent="0.35">
      <c r="A455" s="4"/>
      <c r="B455" s="4"/>
      <c r="C455" s="4"/>
    </row>
    <row r="456" spans="1:3" ht="15.75" customHeight="1" x14ac:dyDescent="0.35">
      <c r="A456" s="4"/>
      <c r="B456" s="4"/>
      <c r="C456" s="4"/>
    </row>
    <row r="457" spans="1:3" ht="15.75" customHeight="1" x14ac:dyDescent="0.35">
      <c r="A457" s="4"/>
      <c r="B457" s="4"/>
      <c r="C457" s="4"/>
    </row>
    <row r="458" spans="1:3" ht="15.75" customHeight="1" x14ac:dyDescent="0.35">
      <c r="A458" s="4"/>
      <c r="B458" s="4"/>
      <c r="C458" s="4"/>
    </row>
    <row r="459" spans="1:3" ht="15.75" customHeight="1" x14ac:dyDescent="0.35">
      <c r="A459" s="4"/>
      <c r="B459" s="4"/>
      <c r="C459" s="4"/>
    </row>
    <row r="460" spans="1:3" ht="15.75" customHeight="1" x14ac:dyDescent="0.35">
      <c r="A460" s="4"/>
      <c r="B460" s="4"/>
      <c r="C460" s="4"/>
    </row>
    <row r="461" spans="1:3" ht="15.75" customHeight="1" x14ac:dyDescent="0.35">
      <c r="A461" s="4"/>
      <c r="B461" s="4"/>
      <c r="C461" s="4"/>
    </row>
    <row r="462" spans="1:3" ht="15.75" customHeight="1" x14ac:dyDescent="0.35">
      <c r="A462" s="4"/>
      <c r="B462" s="4"/>
      <c r="C462" s="4"/>
    </row>
    <row r="463" spans="1:3" ht="15.75" customHeight="1" x14ac:dyDescent="0.35">
      <c r="A463" s="4"/>
      <c r="B463" s="4"/>
      <c r="C463" s="4"/>
    </row>
    <row r="464" spans="1:3" ht="15.75" customHeight="1" x14ac:dyDescent="0.35">
      <c r="A464" s="4"/>
      <c r="B464" s="4"/>
      <c r="C464" s="4"/>
    </row>
    <row r="465" spans="1:3" ht="15.75" customHeight="1" x14ac:dyDescent="0.35">
      <c r="A465" s="4"/>
      <c r="B465" s="4"/>
      <c r="C465" s="4"/>
    </row>
    <row r="466" spans="1:3" ht="15.75" customHeight="1" x14ac:dyDescent="0.35">
      <c r="A466" s="4"/>
      <c r="B466" s="4"/>
      <c r="C466" s="4"/>
    </row>
    <row r="467" spans="1:3" ht="15.75" customHeight="1" x14ac:dyDescent="0.35">
      <c r="A467" s="4"/>
      <c r="B467" s="4"/>
      <c r="C467" s="4"/>
    </row>
    <row r="468" spans="1:3" ht="15.75" customHeight="1" x14ac:dyDescent="0.35">
      <c r="A468" s="4"/>
      <c r="B468" s="4"/>
      <c r="C468" s="4"/>
    </row>
    <row r="469" spans="1:3" ht="15.75" customHeight="1" x14ac:dyDescent="0.35">
      <c r="A469" s="4"/>
      <c r="B469" s="4"/>
      <c r="C469" s="4"/>
    </row>
    <row r="470" spans="1:3" ht="15.75" customHeight="1" x14ac:dyDescent="0.35">
      <c r="A470" s="4"/>
      <c r="B470" s="4"/>
      <c r="C470" s="4"/>
    </row>
    <row r="471" spans="1:3" ht="15.75" customHeight="1" x14ac:dyDescent="0.35">
      <c r="A471" s="4"/>
      <c r="B471" s="4"/>
      <c r="C471" s="4"/>
    </row>
    <row r="472" spans="1:3" ht="15.75" customHeight="1" x14ac:dyDescent="0.35">
      <c r="A472" s="4"/>
      <c r="B472" s="4"/>
      <c r="C472" s="4"/>
    </row>
    <row r="473" spans="1:3" ht="15.75" customHeight="1" x14ac:dyDescent="0.35">
      <c r="A473" s="4"/>
      <c r="B473" s="4"/>
      <c r="C473" s="4"/>
    </row>
    <row r="474" spans="1:3" ht="15.75" customHeight="1" x14ac:dyDescent="0.35">
      <c r="A474" s="4"/>
      <c r="B474" s="4"/>
      <c r="C474" s="4"/>
    </row>
    <row r="475" spans="1:3" ht="15.75" customHeight="1" x14ac:dyDescent="0.35">
      <c r="A475" s="4"/>
      <c r="B475" s="4"/>
      <c r="C475" s="4"/>
    </row>
    <row r="476" spans="1:3" ht="15.75" customHeight="1" x14ac:dyDescent="0.35">
      <c r="A476" s="4"/>
      <c r="B476" s="4"/>
      <c r="C476" s="4"/>
    </row>
    <row r="477" spans="1:3" ht="15.75" customHeight="1" x14ac:dyDescent="0.35">
      <c r="A477" s="4"/>
      <c r="B477" s="4"/>
      <c r="C477" s="4"/>
    </row>
    <row r="478" spans="1:3" ht="15.75" customHeight="1" x14ac:dyDescent="0.35">
      <c r="A478" s="4"/>
      <c r="B478" s="4"/>
      <c r="C478" s="4"/>
    </row>
    <row r="479" spans="1:3" ht="15.75" customHeight="1" x14ac:dyDescent="0.35">
      <c r="A479" s="4"/>
      <c r="B479" s="4"/>
      <c r="C479" s="4"/>
    </row>
    <row r="480" spans="1:3" ht="15.75" customHeight="1" x14ac:dyDescent="0.35">
      <c r="A480" s="4"/>
      <c r="B480" s="4"/>
      <c r="C480" s="4"/>
    </row>
    <row r="481" spans="1:3" ht="15.75" customHeight="1" x14ac:dyDescent="0.35">
      <c r="A481" s="4"/>
      <c r="B481" s="4"/>
      <c r="C481" s="4"/>
    </row>
    <row r="482" spans="1:3" ht="15.75" customHeight="1" x14ac:dyDescent="0.35">
      <c r="A482" s="4"/>
      <c r="B482" s="4"/>
      <c r="C482" s="4"/>
    </row>
    <row r="483" spans="1:3" ht="15.75" customHeight="1" x14ac:dyDescent="0.35">
      <c r="A483" s="4"/>
      <c r="B483" s="4"/>
      <c r="C483" s="4"/>
    </row>
    <row r="484" spans="1:3" ht="15.75" customHeight="1" x14ac:dyDescent="0.35">
      <c r="A484" s="4"/>
      <c r="B484" s="4"/>
      <c r="C484" s="4"/>
    </row>
    <row r="485" spans="1:3" ht="15.75" customHeight="1" x14ac:dyDescent="0.35">
      <c r="A485" s="4"/>
      <c r="B485" s="4"/>
      <c r="C485" s="4"/>
    </row>
    <row r="486" spans="1:3" ht="15.75" customHeight="1" x14ac:dyDescent="0.35">
      <c r="A486" s="4"/>
      <c r="B486" s="4"/>
      <c r="C486" s="4"/>
    </row>
    <row r="487" spans="1:3" ht="15.75" customHeight="1" x14ac:dyDescent="0.35">
      <c r="A487" s="4"/>
      <c r="B487" s="4"/>
      <c r="C487" s="4"/>
    </row>
    <row r="488" spans="1:3" ht="15.75" customHeight="1" x14ac:dyDescent="0.35">
      <c r="A488" s="4"/>
      <c r="B488" s="4"/>
      <c r="C488" s="4"/>
    </row>
    <row r="489" spans="1:3" ht="15.75" customHeight="1" x14ac:dyDescent="0.35">
      <c r="A489" s="4"/>
      <c r="B489" s="4"/>
      <c r="C489" s="4"/>
    </row>
    <row r="490" spans="1:3" ht="15.75" customHeight="1" x14ac:dyDescent="0.35">
      <c r="A490" s="4"/>
      <c r="B490" s="4"/>
      <c r="C490" s="4"/>
    </row>
    <row r="491" spans="1:3" ht="15.75" customHeight="1" x14ac:dyDescent="0.35">
      <c r="A491" s="4"/>
      <c r="B491" s="4"/>
      <c r="C491" s="4"/>
    </row>
    <row r="492" spans="1:3" ht="15.75" customHeight="1" x14ac:dyDescent="0.35">
      <c r="A492" s="4"/>
      <c r="B492" s="4"/>
      <c r="C492" s="4"/>
    </row>
    <row r="493" spans="1:3" ht="15.75" customHeight="1" x14ac:dyDescent="0.35">
      <c r="A493" s="4"/>
      <c r="B493" s="4"/>
      <c r="C493" s="4"/>
    </row>
    <row r="494" spans="1:3" ht="15.75" customHeight="1" x14ac:dyDescent="0.35">
      <c r="A494" s="4"/>
      <c r="B494" s="4"/>
      <c r="C494" s="4"/>
    </row>
    <row r="495" spans="1:3" ht="15.75" customHeight="1" x14ac:dyDescent="0.35">
      <c r="A495" s="4"/>
      <c r="B495" s="4"/>
      <c r="C495" s="4"/>
    </row>
    <row r="496" spans="1:3" ht="15.75" customHeight="1" x14ac:dyDescent="0.35">
      <c r="A496" s="4"/>
      <c r="B496" s="4"/>
      <c r="C496" s="4"/>
    </row>
    <row r="497" spans="1:3" ht="15.75" customHeight="1" x14ac:dyDescent="0.35">
      <c r="A497" s="4"/>
      <c r="B497" s="4"/>
      <c r="C497" s="4"/>
    </row>
    <row r="498" spans="1:3" ht="15.75" customHeight="1" x14ac:dyDescent="0.35">
      <c r="A498" s="4"/>
      <c r="B498" s="4"/>
      <c r="C498" s="4"/>
    </row>
    <row r="499" spans="1:3" ht="15.75" customHeight="1" x14ac:dyDescent="0.35">
      <c r="A499" s="4"/>
      <c r="B499" s="4"/>
      <c r="C499" s="4"/>
    </row>
    <row r="500" spans="1:3" ht="15.75" customHeight="1" x14ac:dyDescent="0.35">
      <c r="A500" s="4"/>
      <c r="B500" s="4"/>
      <c r="C500" s="4"/>
    </row>
    <row r="501" spans="1:3" ht="15.75" customHeight="1" x14ac:dyDescent="0.35">
      <c r="A501" s="4"/>
      <c r="B501" s="4"/>
      <c r="C501" s="4"/>
    </row>
    <row r="502" spans="1:3" ht="15.75" customHeight="1" x14ac:dyDescent="0.35">
      <c r="A502" s="4"/>
      <c r="B502" s="4"/>
      <c r="C502" s="4"/>
    </row>
    <row r="503" spans="1:3" ht="15.75" customHeight="1" x14ac:dyDescent="0.35">
      <c r="A503" s="4"/>
      <c r="B503" s="4"/>
      <c r="C503" s="4"/>
    </row>
    <row r="504" spans="1:3" ht="15.75" customHeight="1" x14ac:dyDescent="0.35">
      <c r="A504" s="4"/>
      <c r="B504" s="4"/>
      <c r="C504" s="4"/>
    </row>
    <row r="505" spans="1:3" ht="15.75" customHeight="1" x14ac:dyDescent="0.35">
      <c r="A505" s="4"/>
      <c r="B505" s="4"/>
      <c r="C505" s="4"/>
    </row>
    <row r="506" spans="1:3" ht="15.75" customHeight="1" x14ac:dyDescent="0.35">
      <c r="A506" s="4"/>
      <c r="B506" s="4"/>
      <c r="C506" s="4"/>
    </row>
    <row r="507" spans="1:3" ht="15.75" customHeight="1" x14ac:dyDescent="0.35">
      <c r="A507" s="4"/>
      <c r="B507" s="4"/>
      <c r="C507" s="4"/>
    </row>
    <row r="508" spans="1:3" ht="15.75" customHeight="1" x14ac:dyDescent="0.35">
      <c r="A508" s="4"/>
      <c r="B508" s="4"/>
      <c r="C508" s="4"/>
    </row>
    <row r="509" spans="1:3" ht="15.75" customHeight="1" x14ac:dyDescent="0.35">
      <c r="A509" s="4"/>
      <c r="B509" s="4"/>
      <c r="C509" s="4"/>
    </row>
    <row r="510" spans="1:3" ht="15.75" customHeight="1" x14ac:dyDescent="0.35">
      <c r="A510" s="4"/>
      <c r="B510" s="4"/>
      <c r="C510" s="4"/>
    </row>
    <row r="511" spans="1:3" ht="15.75" customHeight="1" x14ac:dyDescent="0.35">
      <c r="A511" s="4"/>
      <c r="B511" s="4"/>
      <c r="C511" s="4"/>
    </row>
    <row r="512" spans="1:3" ht="15.75" customHeight="1" x14ac:dyDescent="0.35">
      <c r="A512" s="4"/>
      <c r="B512" s="4"/>
      <c r="C512" s="4"/>
    </row>
    <row r="513" spans="1:3" ht="15.75" customHeight="1" x14ac:dyDescent="0.35">
      <c r="A513" s="4"/>
      <c r="B513" s="4"/>
      <c r="C513" s="4"/>
    </row>
    <row r="514" spans="1:3" ht="15.75" customHeight="1" x14ac:dyDescent="0.35">
      <c r="A514" s="4"/>
      <c r="B514" s="4"/>
      <c r="C514" s="4"/>
    </row>
    <row r="515" spans="1:3" ht="15.75" customHeight="1" x14ac:dyDescent="0.35">
      <c r="A515" s="4"/>
      <c r="B515" s="4"/>
      <c r="C515" s="4"/>
    </row>
    <row r="516" spans="1:3" ht="15.75" customHeight="1" x14ac:dyDescent="0.35">
      <c r="A516" s="4"/>
      <c r="B516" s="4"/>
      <c r="C516" s="4"/>
    </row>
    <row r="517" spans="1:3" ht="15.75" customHeight="1" x14ac:dyDescent="0.35">
      <c r="A517" s="4"/>
      <c r="B517" s="4"/>
      <c r="C517" s="4"/>
    </row>
    <row r="518" spans="1:3" ht="15.75" customHeight="1" x14ac:dyDescent="0.35">
      <c r="A518" s="4"/>
      <c r="B518" s="4"/>
      <c r="C518" s="4"/>
    </row>
    <row r="519" spans="1:3" ht="15.75" customHeight="1" x14ac:dyDescent="0.35">
      <c r="A519" s="4"/>
      <c r="B519" s="4"/>
      <c r="C519" s="4"/>
    </row>
    <row r="520" spans="1:3" ht="15.75" customHeight="1" x14ac:dyDescent="0.35">
      <c r="A520" s="4"/>
      <c r="B520" s="4"/>
      <c r="C520" s="4"/>
    </row>
    <row r="521" spans="1:3" ht="15.75" customHeight="1" x14ac:dyDescent="0.35">
      <c r="A521" s="4"/>
      <c r="B521" s="4"/>
      <c r="C521" s="4"/>
    </row>
    <row r="522" spans="1:3" ht="15.75" customHeight="1" x14ac:dyDescent="0.35">
      <c r="A522" s="4"/>
      <c r="B522" s="4"/>
      <c r="C522" s="4"/>
    </row>
    <row r="523" spans="1:3" ht="15.75" customHeight="1" x14ac:dyDescent="0.35">
      <c r="A523" s="4"/>
      <c r="B523" s="4"/>
      <c r="C523" s="4"/>
    </row>
    <row r="524" spans="1:3" ht="15.75" customHeight="1" x14ac:dyDescent="0.35">
      <c r="A524" s="4"/>
      <c r="B524" s="4"/>
      <c r="C524" s="4"/>
    </row>
    <row r="525" spans="1:3" ht="15.75" customHeight="1" x14ac:dyDescent="0.35">
      <c r="A525" s="4"/>
      <c r="B525" s="4"/>
      <c r="C525" s="4"/>
    </row>
    <row r="526" spans="1:3" ht="15.75" customHeight="1" x14ac:dyDescent="0.35">
      <c r="A526" s="4"/>
      <c r="B526" s="4"/>
      <c r="C526" s="4"/>
    </row>
    <row r="527" spans="1:3" ht="15.75" customHeight="1" x14ac:dyDescent="0.35">
      <c r="A527" s="4"/>
      <c r="B527" s="4"/>
      <c r="C527" s="4"/>
    </row>
    <row r="528" spans="1:3" ht="15.75" customHeight="1" x14ac:dyDescent="0.35">
      <c r="A528" s="4"/>
      <c r="B528" s="4"/>
      <c r="C528" s="4"/>
    </row>
    <row r="529" spans="1:3" ht="15.75" customHeight="1" x14ac:dyDescent="0.35">
      <c r="A529" s="4"/>
      <c r="B529" s="4"/>
      <c r="C529" s="4"/>
    </row>
    <row r="530" spans="1:3" ht="15.75" customHeight="1" x14ac:dyDescent="0.35">
      <c r="A530" s="4"/>
      <c r="B530" s="4"/>
      <c r="C530" s="4"/>
    </row>
    <row r="531" spans="1:3" ht="15.75" customHeight="1" x14ac:dyDescent="0.35">
      <c r="A531" s="4"/>
      <c r="B531" s="4"/>
      <c r="C531" s="4"/>
    </row>
    <row r="532" spans="1:3" ht="15.75" customHeight="1" x14ac:dyDescent="0.35">
      <c r="A532" s="4"/>
      <c r="B532" s="4"/>
      <c r="C532" s="4"/>
    </row>
    <row r="533" spans="1:3" ht="15.75" customHeight="1" x14ac:dyDescent="0.35">
      <c r="A533" s="4"/>
      <c r="B533" s="4"/>
      <c r="C533" s="4"/>
    </row>
    <row r="534" spans="1:3" ht="15.75" customHeight="1" x14ac:dyDescent="0.35">
      <c r="A534" s="4"/>
      <c r="B534" s="4"/>
      <c r="C534" s="4"/>
    </row>
    <row r="535" spans="1:3" ht="15.75" customHeight="1" x14ac:dyDescent="0.35">
      <c r="A535" s="4"/>
      <c r="B535" s="4"/>
      <c r="C535" s="4"/>
    </row>
    <row r="536" spans="1:3" ht="15.75" customHeight="1" x14ac:dyDescent="0.35">
      <c r="A536" s="4"/>
      <c r="B536" s="4"/>
      <c r="C536" s="4"/>
    </row>
    <row r="537" spans="1:3" ht="15.75" customHeight="1" x14ac:dyDescent="0.35">
      <c r="A537" s="4"/>
      <c r="B537" s="4"/>
      <c r="C537" s="4"/>
    </row>
    <row r="538" spans="1:3" ht="15.75" customHeight="1" x14ac:dyDescent="0.35">
      <c r="A538" s="4"/>
      <c r="B538" s="4"/>
      <c r="C538" s="4"/>
    </row>
    <row r="539" spans="1:3" ht="15.75" customHeight="1" x14ac:dyDescent="0.35">
      <c r="A539" s="4"/>
      <c r="B539" s="4"/>
      <c r="C539" s="4"/>
    </row>
    <row r="540" spans="1:3" ht="15.75" customHeight="1" x14ac:dyDescent="0.35">
      <c r="A540" s="4"/>
      <c r="B540" s="4"/>
      <c r="C540" s="4"/>
    </row>
    <row r="541" spans="1:3" ht="15.75" customHeight="1" x14ac:dyDescent="0.35">
      <c r="A541" s="4"/>
      <c r="B541" s="4"/>
      <c r="C541" s="4"/>
    </row>
    <row r="542" spans="1:3" ht="15.75" customHeight="1" x14ac:dyDescent="0.35">
      <c r="A542" s="4"/>
      <c r="B542" s="4"/>
      <c r="C542" s="4"/>
    </row>
    <row r="543" spans="1:3" ht="15.75" customHeight="1" x14ac:dyDescent="0.35">
      <c r="A543" s="4"/>
      <c r="B543" s="4"/>
      <c r="C543" s="4"/>
    </row>
    <row r="544" spans="1:3" ht="15.75" customHeight="1" x14ac:dyDescent="0.35">
      <c r="A544" s="4"/>
      <c r="B544" s="4"/>
      <c r="C544" s="4"/>
    </row>
    <row r="545" spans="1:3" ht="15.75" customHeight="1" x14ac:dyDescent="0.35">
      <c r="A545" s="4"/>
      <c r="B545" s="4"/>
      <c r="C545" s="4"/>
    </row>
    <row r="546" spans="1:3" ht="15.75" customHeight="1" x14ac:dyDescent="0.35">
      <c r="A546" s="4"/>
      <c r="B546" s="4"/>
      <c r="C546" s="4"/>
    </row>
    <row r="547" spans="1:3" ht="15.75" customHeight="1" x14ac:dyDescent="0.35">
      <c r="A547" s="4"/>
      <c r="B547" s="4"/>
      <c r="C547" s="4"/>
    </row>
    <row r="548" spans="1:3" ht="15.75" customHeight="1" x14ac:dyDescent="0.35">
      <c r="A548" s="4"/>
      <c r="B548" s="4"/>
      <c r="C548" s="4"/>
    </row>
    <row r="549" spans="1:3" ht="15.75" customHeight="1" x14ac:dyDescent="0.35">
      <c r="A549" s="4"/>
      <c r="B549" s="4"/>
      <c r="C549" s="4"/>
    </row>
    <row r="550" spans="1:3" ht="15.75" customHeight="1" x14ac:dyDescent="0.35">
      <c r="A550" s="4"/>
      <c r="B550" s="4"/>
      <c r="C550" s="4"/>
    </row>
    <row r="551" spans="1:3" ht="15.75" customHeight="1" x14ac:dyDescent="0.35">
      <c r="A551" s="4"/>
      <c r="B551" s="4"/>
      <c r="C551" s="4"/>
    </row>
    <row r="552" spans="1:3" ht="15.75" customHeight="1" x14ac:dyDescent="0.35">
      <c r="A552" s="4"/>
      <c r="B552" s="4"/>
      <c r="C552" s="4"/>
    </row>
    <row r="553" spans="1:3" ht="15.75" customHeight="1" x14ac:dyDescent="0.35">
      <c r="A553" s="4"/>
      <c r="B553" s="4"/>
      <c r="C553" s="4"/>
    </row>
    <row r="554" spans="1:3" ht="15.75" customHeight="1" x14ac:dyDescent="0.35">
      <c r="A554" s="4"/>
      <c r="B554" s="4"/>
      <c r="C554" s="4"/>
    </row>
    <row r="555" spans="1:3" ht="15.75" customHeight="1" x14ac:dyDescent="0.35">
      <c r="A555" s="4"/>
      <c r="B555" s="4"/>
      <c r="C555" s="4"/>
    </row>
    <row r="556" spans="1:3" ht="15.75" customHeight="1" x14ac:dyDescent="0.35">
      <c r="A556" s="4"/>
      <c r="B556" s="4"/>
      <c r="C556" s="4"/>
    </row>
    <row r="557" spans="1:3" ht="15.75" customHeight="1" x14ac:dyDescent="0.35">
      <c r="A557" s="4"/>
      <c r="B557" s="4"/>
      <c r="C557" s="4"/>
    </row>
    <row r="558" spans="1:3" ht="15.75" customHeight="1" x14ac:dyDescent="0.35">
      <c r="A558" s="4"/>
      <c r="B558" s="4"/>
      <c r="C558" s="4"/>
    </row>
    <row r="559" spans="1:3" ht="15.75" customHeight="1" x14ac:dyDescent="0.35">
      <c r="A559" s="4"/>
      <c r="B559" s="4"/>
      <c r="C559" s="4"/>
    </row>
    <row r="560" spans="1:3" ht="15.75" customHeight="1" x14ac:dyDescent="0.35">
      <c r="A560" s="4"/>
      <c r="B560" s="4"/>
      <c r="C560" s="4"/>
    </row>
    <row r="561" spans="1:3" ht="15.75" customHeight="1" x14ac:dyDescent="0.35">
      <c r="A561" s="4"/>
      <c r="B561" s="4"/>
      <c r="C561" s="4"/>
    </row>
    <row r="562" spans="1:3" ht="15.75" customHeight="1" x14ac:dyDescent="0.35">
      <c r="A562" s="4"/>
      <c r="B562" s="4"/>
      <c r="C562" s="4"/>
    </row>
    <row r="563" spans="1:3" ht="15.75" customHeight="1" x14ac:dyDescent="0.35">
      <c r="A563" s="4"/>
      <c r="B563" s="4"/>
      <c r="C563" s="4"/>
    </row>
    <row r="564" spans="1:3" ht="15.75" customHeight="1" x14ac:dyDescent="0.35">
      <c r="A564" s="4"/>
      <c r="B564" s="4"/>
      <c r="C564" s="4"/>
    </row>
    <row r="565" spans="1:3" ht="15.75" customHeight="1" x14ac:dyDescent="0.35">
      <c r="A565" s="4"/>
      <c r="B565" s="4"/>
      <c r="C565" s="4"/>
    </row>
    <row r="566" spans="1:3" ht="15.75" customHeight="1" x14ac:dyDescent="0.35">
      <c r="A566" s="4"/>
      <c r="B566" s="4"/>
      <c r="C566" s="4"/>
    </row>
    <row r="567" spans="1:3" ht="15.75" customHeight="1" x14ac:dyDescent="0.35">
      <c r="A567" s="4"/>
      <c r="B567" s="4"/>
      <c r="C567" s="4"/>
    </row>
    <row r="568" spans="1:3" ht="15.75" customHeight="1" x14ac:dyDescent="0.35">
      <c r="A568" s="4"/>
      <c r="B568" s="4"/>
      <c r="C568" s="4"/>
    </row>
    <row r="569" spans="1:3" ht="15.75" customHeight="1" x14ac:dyDescent="0.35">
      <c r="A569" s="4"/>
      <c r="B569" s="4"/>
      <c r="C569" s="4"/>
    </row>
    <row r="570" spans="1:3" ht="15.75" customHeight="1" x14ac:dyDescent="0.35">
      <c r="A570" s="4"/>
      <c r="B570" s="4"/>
      <c r="C570" s="4"/>
    </row>
    <row r="571" spans="1:3" ht="15.75" customHeight="1" x14ac:dyDescent="0.35">
      <c r="A571" s="4"/>
      <c r="B571" s="4"/>
      <c r="C571" s="4"/>
    </row>
    <row r="572" spans="1:3" ht="15.75" customHeight="1" x14ac:dyDescent="0.35">
      <c r="A572" s="4"/>
      <c r="B572" s="4"/>
      <c r="C572" s="4"/>
    </row>
    <row r="573" spans="1:3" ht="15.75" customHeight="1" x14ac:dyDescent="0.35">
      <c r="A573" s="4"/>
      <c r="B573" s="4"/>
      <c r="C573" s="4"/>
    </row>
    <row r="574" spans="1:3" ht="15.75" customHeight="1" x14ac:dyDescent="0.35">
      <c r="A574" s="4"/>
      <c r="B574" s="4"/>
      <c r="C574" s="4"/>
    </row>
    <row r="575" spans="1:3" ht="15.75" customHeight="1" x14ac:dyDescent="0.35">
      <c r="A575" s="4"/>
      <c r="B575" s="4"/>
      <c r="C575" s="4"/>
    </row>
    <row r="576" spans="1:3" ht="15.75" customHeight="1" x14ac:dyDescent="0.35">
      <c r="A576" s="4"/>
      <c r="B576" s="4"/>
      <c r="C576" s="4"/>
    </row>
    <row r="577" spans="1:3" ht="15.75" customHeight="1" x14ac:dyDescent="0.35">
      <c r="A577" s="4"/>
      <c r="B577" s="4"/>
      <c r="C577" s="4"/>
    </row>
    <row r="578" spans="1:3" ht="15.75" customHeight="1" x14ac:dyDescent="0.35">
      <c r="A578" s="4"/>
      <c r="B578" s="4"/>
      <c r="C578" s="4"/>
    </row>
    <row r="579" spans="1:3" ht="15.75" customHeight="1" x14ac:dyDescent="0.35">
      <c r="A579" s="4"/>
      <c r="B579" s="4"/>
      <c r="C579" s="4"/>
    </row>
    <row r="580" spans="1:3" ht="15.75" customHeight="1" x14ac:dyDescent="0.35">
      <c r="A580" s="4"/>
      <c r="B580" s="4"/>
      <c r="C580" s="4"/>
    </row>
    <row r="581" spans="1:3" ht="15.75" customHeight="1" x14ac:dyDescent="0.35">
      <c r="A581" s="4"/>
      <c r="B581" s="4"/>
      <c r="C581" s="4"/>
    </row>
    <row r="582" spans="1:3" ht="15.75" customHeight="1" x14ac:dyDescent="0.35">
      <c r="A582" s="4"/>
      <c r="B582" s="4"/>
      <c r="C582" s="4"/>
    </row>
    <row r="583" spans="1:3" ht="15.75" customHeight="1" x14ac:dyDescent="0.35">
      <c r="A583" s="4"/>
      <c r="B583" s="4"/>
      <c r="C583" s="4"/>
    </row>
    <row r="584" spans="1:3" ht="15.75" customHeight="1" x14ac:dyDescent="0.35">
      <c r="A584" s="4"/>
      <c r="B584" s="4"/>
      <c r="C584" s="4"/>
    </row>
    <row r="585" spans="1:3" ht="15.75" customHeight="1" x14ac:dyDescent="0.35">
      <c r="A585" s="4"/>
      <c r="B585" s="4"/>
      <c r="C585" s="4"/>
    </row>
    <row r="586" spans="1:3" ht="15.75" customHeight="1" x14ac:dyDescent="0.35">
      <c r="A586" s="4"/>
      <c r="B586" s="4"/>
      <c r="C586" s="4"/>
    </row>
    <row r="587" spans="1:3" ht="15.75" customHeight="1" x14ac:dyDescent="0.35">
      <c r="A587" s="4"/>
      <c r="B587" s="4"/>
      <c r="C587" s="4"/>
    </row>
    <row r="588" spans="1:3" ht="15.75" customHeight="1" x14ac:dyDescent="0.35">
      <c r="A588" s="4"/>
      <c r="B588" s="4"/>
      <c r="C588" s="4"/>
    </row>
    <row r="589" spans="1:3" ht="15.75" customHeight="1" x14ac:dyDescent="0.35">
      <c r="A589" s="4"/>
      <c r="B589" s="4"/>
      <c r="C589" s="4"/>
    </row>
    <row r="590" spans="1:3" ht="15.75" customHeight="1" x14ac:dyDescent="0.35">
      <c r="A590" s="4"/>
      <c r="B590" s="4"/>
      <c r="C590" s="4"/>
    </row>
    <row r="591" spans="1:3" ht="15.75" customHeight="1" x14ac:dyDescent="0.35">
      <c r="A591" s="4"/>
      <c r="B591" s="4"/>
      <c r="C591" s="4"/>
    </row>
    <row r="592" spans="1:3" ht="15.75" customHeight="1" x14ac:dyDescent="0.35">
      <c r="A592" s="4"/>
      <c r="B592" s="4"/>
      <c r="C592" s="4"/>
    </row>
    <row r="593" spans="1:3" ht="15.75" customHeight="1" x14ac:dyDescent="0.35">
      <c r="A593" s="4"/>
      <c r="B593" s="4"/>
      <c r="C593" s="4"/>
    </row>
    <row r="594" spans="1:3" ht="15.75" customHeight="1" x14ac:dyDescent="0.35">
      <c r="A594" s="4"/>
      <c r="B594" s="4"/>
      <c r="C594" s="4"/>
    </row>
    <row r="595" spans="1:3" ht="15.75" customHeight="1" x14ac:dyDescent="0.35">
      <c r="A595" s="4"/>
      <c r="B595" s="4"/>
      <c r="C595" s="4"/>
    </row>
    <row r="596" spans="1:3" ht="15.75" customHeight="1" x14ac:dyDescent="0.35">
      <c r="A596" s="4"/>
      <c r="B596" s="4"/>
      <c r="C596" s="4"/>
    </row>
    <row r="597" spans="1:3" ht="15.75" customHeight="1" x14ac:dyDescent="0.35">
      <c r="A597" s="4"/>
      <c r="B597" s="4"/>
      <c r="C597" s="4"/>
    </row>
    <row r="598" spans="1:3" ht="15.75" customHeight="1" x14ac:dyDescent="0.35">
      <c r="A598" s="4"/>
      <c r="B598" s="4"/>
      <c r="C598" s="4"/>
    </row>
    <row r="599" spans="1:3" ht="15.75" customHeight="1" x14ac:dyDescent="0.35">
      <c r="A599" s="4"/>
      <c r="B599" s="4"/>
      <c r="C599" s="4"/>
    </row>
    <row r="600" spans="1:3" ht="15.75" customHeight="1" x14ac:dyDescent="0.35">
      <c r="A600" s="4"/>
      <c r="B600" s="4"/>
      <c r="C600" s="4"/>
    </row>
    <row r="601" spans="1:3" ht="15.75" customHeight="1" x14ac:dyDescent="0.35">
      <c r="A601" s="4"/>
      <c r="B601" s="4"/>
      <c r="C601" s="4"/>
    </row>
    <row r="602" spans="1:3" ht="15.75" customHeight="1" x14ac:dyDescent="0.35">
      <c r="A602" s="4"/>
      <c r="B602" s="4"/>
      <c r="C602" s="4"/>
    </row>
    <row r="603" spans="1:3" ht="15.75" customHeight="1" x14ac:dyDescent="0.35">
      <c r="A603" s="4"/>
      <c r="B603" s="4"/>
      <c r="C603" s="4"/>
    </row>
    <row r="604" spans="1:3" ht="15.75" customHeight="1" x14ac:dyDescent="0.35">
      <c r="A604" s="4"/>
      <c r="B604" s="4"/>
      <c r="C604" s="4"/>
    </row>
    <row r="605" spans="1:3" ht="15.75" customHeight="1" x14ac:dyDescent="0.35">
      <c r="A605" s="4"/>
      <c r="B605" s="4"/>
      <c r="C605" s="4"/>
    </row>
    <row r="606" spans="1:3" ht="15.75" customHeight="1" x14ac:dyDescent="0.35">
      <c r="A606" s="4"/>
      <c r="B606" s="4"/>
      <c r="C606" s="4"/>
    </row>
    <row r="607" spans="1:3" ht="15.75" customHeight="1" x14ac:dyDescent="0.35">
      <c r="A607" s="4"/>
      <c r="B607" s="4"/>
      <c r="C607" s="4"/>
    </row>
    <row r="608" spans="1:3" ht="15.75" customHeight="1" x14ac:dyDescent="0.35">
      <c r="A608" s="4"/>
      <c r="B608" s="4"/>
      <c r="C608" s="4"/>
    </row>
    <row r="609" spans="1:3" ht="15.75" customHeight="1" x14ac:dyDescent="0.35">
      <c r="A609" s="4"/>
      <c r="B609" s="4"/>
      <c r="C609" s="4"/>
    </row>
    <row r="610" spans="1:3" ht="15.75" customHeight="1" x14ac:dyDescent="0.35">
      <c r="A610" s="4"/>
      <c r="B610" s="4"/>
      <c r="C610" s="4"/>
    </row>
    <row r="611" spans="1:3" ht="15.75" customHeight="1" x14ac:dyDescent="0.35">
      <c r="A611" s="4"/>
      <c r="B611" s="4"/>
      <c r="C611" s="4"/>
    </row>
    <row r="612" spans="1:3" ht="15.75" customHeight="1" x14ac:dyDescent="0.35">
      <c r="A612" s="4"/>
      <c r="B612" s="4"/>
      <c r="C612" s="4"/>
    </row>
    <row r="613" spans="1:3" ht="15.75" customHeight="1" x14ac:dyDescent="0.35">
      <c r="A613" s="4"/>
      <c r="B613" s="4"/>
      <c r="C613" s="4"/>
    </row>
    <row r="614" spans="1:3" ht="15.75" customHeight="1" x14ac:dyDescent="0.35">
      <c r="A614" s="4"/>
      <c r="B614" s="4"/>
      <c r="C614" s="4"/>
    </row>
    <row r="615" spans="1:3" ht="15.75" customHeight="1" x14ac:dyDescent="0.35">
      <c r="A615" s="4"/>
      <c r="B615" s="4"/>
      <c r="C615" s="4"/>
    </row>
    <row r="616" spans="1:3" ht="15.75" customHeight="1" x14ac:dyDescent="0.35">
      <c r="A616" s="4"/>
      <c r="B616" s="4"/>
      <c r="C616" s="4"/>
    </row>
    <row r="617" spans="1:3" ht="15.75" customHeight="1" x14ac:dyDescent="0.35">
      <c r="A617" s="4"/>
      <c r="B617" s="4"/>
      <c r="C617" s="4"/>
    </row>
    <row r="618" spans="1:3" ht="15.75" customHeight="1" x14ac:dyDescent="0.35">
      <c r="A618" s="4"/>
      <c r="B618" s="4"/>
      <c r="C618" s="4"/>
    </row>
    <row r="619" spans="1:3" ht="15.75" customHeight="1" x14ac:dyDescent="0.35">
      <c r="A619" s="4"/>
      <c r="B619" s="4"/>
      <c r="C619" s="4"/>
    </row>
    <row r="620" spans="1:3" ht="15.75" customHeight="1" x14ac:dyDescent="0.35">
      <c r="A620" s="4"/>
      <c r="B620" s="4"/>
      <c r="C620" s="4"/>
    </row>
    <row r="621" spans="1:3" ht="15.75" customHeight="1" x14ac:dyDescent="0.35">
      <c r="A621" s="4"/>
      <c r="B621" s="4"/>
      <c r="C621" s="4"/>
    </row>
    <row r="622" spans="1:3" ht="15.75" customHeight="1" x14ac:dyDescent="0.35">
      <c r="A622" s="4"/>
      <c r="B622" s="4"/>
      <c r="C622" s="4"/>
    </row>
    <row r="623" spans="1:3" ht="15.75" customHeight="1" x14ac:dyDescent="0.35">
      <c r="A623" s="4"/>
      <c r="B623" s="4"/>
      <c r="C623" s="4"/>
    </row>
    <row r="624" spans="1:3" ht="15.75" customHeight="1" x14ac:dyDescent="0.35">
      <c r="A624" s="4"/>
      <c r="B624" s="4"/>
      <c r="C624" s="4"/>
    </row>
    <row r="625" spans="1:3" ht="15.75" customHeight="1" x14ac:dyDescent="0.35">
      <c r="A625" s="4"/>
      <c r="B625" s="4"/>
      <c r="C625" s="4"/>
    </row>
    <row r="626" spans="1:3" ht="15.75" customHeight="1" x14ac:dyDescent="0.35">
      <c r="A626" s="4"/>
      <c r="B626" s="4"/>
      <c r="C626" s="4"/>
    </row>
    <row r="627" spans="1:3" ht="15.75" customHeight="1" x14ac:dyDescent="0.35">
      <c r="A627" s="4"/>
      <c r="B627" s="4"/>
      <c r="C627" s="4"/>
    </row>
    <row r="628" spans="1:3" ht="15.75" customHeight="1" x14ac:dyDescent="0.35">
      <c r="A628" s="4"/>
      <c r="B628" s="4"/>
      <c r="C628" s="4"/>
    </row>
    <row r="629" spans="1:3" ht="15.75" customHeight="1" x14ac:dyDescent="0.35">
      <c r="A629" s="4"/>
      <c r="B629" s="4"/>
      <c r="C629" s="4"/>
    </row>
    <row r="630" spans="1:3" ht="15.75" customHeight="1" x14ac:dyDescent="0.35">
      <c r="A630" s="4"/>
      <c r="B630" s="4"/>
      <c r="C630" s="4"/>
    </row>
    <row r="631" spans="1:3" ht="15.75" customHeight="1" x14ac:dyDescent="0.35">
      <c r="A631" s="4"/>
      <c r="B631" s="4"/>
      <c r="C631" s="4"/>
    </row>
    <row r="632" spans="1:3" ht="15.75" customHeight="1" x14ac:dyDescent="0.35">
      <c r="A632" s="4"/>
      <c r="B632" s="4"/>
      <c r="C632" s="4"/>
    </row>
    <row r="633" spans="1:3" ht="15.75" customHeight="1" x14ac:dyDescent="0.35">
      <c r="A633" s="4"/>
      <c r="B633" s="4"/>
      <c r="C633" s="4"/>
    </row>
    <row r="634" spans="1:3" ht="15.75" customHeight="1" x14ac:dyDescent="0.35">
      <c r="A634" s="4"/>
      <c r="B634" s="4"/>
      <c r="C634" s="4"/>
    </row>
    <row r="635" spans="1:3" ht="15.75" customHeight="1" x14ac:dyDescent="0.35">
      <c r="A635" s="4"/>
      <c r="B635" s="4"/>
      <c r="C635" s="4"/>
    </row>
    <row r="636" spans="1:3" ht="15.75" customHeight="1" x14ac:dyDescent="0.35">
      <c r="A636" s="4"/>
      <c r="B636" s="4"/>
      <c r="C636" s="4"/>
    </row>
    <row r="637" spans="1:3" ht="15.75" customHeight="1" x14ac:dyDescent="0.35">
      <c r="A637" s="4"/>
      <c r="B637" s="4"/>
      <c r="C637" s="4"/>
    </row>
    <row r="638" spans="1:3" ht="15.75" customHeight="1" x14ac:dyDescent="0.35">
      <c r="A638" s="4"/>
      <c r="B638" s="4"/>
      <c r="C638" s="4"/>
    </row>
    <row r="639" spans="1:3" ht="15.75" customHeight="1" x14ac:dyDescent="0.35">
      <c r="A639" s="4"/>
      <c r="B639" s="4"/>
      <c r="C639" s="4"/>
    </row>
    <row r="640" spans="1:3" ht="15.75" customHeight="1" x14ac:dyDescent="0.35">
      <c r="A640" s="4"/>
      <c r="B640" s="4"/>
      <c r="C640" s="4"/>
    </row>
    <row r="641" spans="1:3" ht="15.75" customHeight="1" x14ac:dyDescent="0.35">
      <c r="A641" s="4"/>
      <c r="B641" s="4"/>
      <c r="C641" s="4"/>
    </row>
    <row r="642" spans="1:3" ht="15.75" customHeight="1" x14ac:dyDescent="0.35">
      <c r="A642" s="4"/>
      <c r="B642" s="4"/>
      <c r="C642" s="4"/>
    </row>
    <row r="643" spans="1:3" ht="15.75" customHeight="1" x14ac:dyDescent="0.35">
      <c r="A643" s="4"/>
      <c r="B643" s="4"/>
      <c r="C643" s="4"/>
    </row>
    <row r="644" spans="1:3" ht="15.75" customHeight="1" x14ac:dyDescent="0.35">
      <c r="A644" s="4"/>
      <c r="B644" s="4"/>
      <c r="C644" s="4"/>
    </row>
    <row r="645" spans="1:3" ht="15.75" customHeight="1" x14ac:dyDescent="0.35">
      <c r="A645" s="4"/>
      <c r="B645" s="4"/>
      <c r="C645" s="4"/>
    </row>
    <row r="646" spans="1:3" ht="15.75" customHeight="1" x14ac:dyDescent="0.35">
      <c r="A646" s="4"/>
      <c r="B646" s="4"/>
      <c r="C646" s="4"/>
    </row>
    <row r="647" spans="1:3" ht="15.75" customHeight="1" x14ac:dyDescent="0.35">
      <c r="A647" s="4"/>
      <c r="B647" s="4"/>
      <c r="C647" s="4"/>
    </row>
    <row r="648" spans="1:3" ht="15.75" customHeight="1" x14ac:dyDescent="0.35">
      <c r="A648" s="4"/>
      <c r="B648" s="4"/>
      <c r="C648" s="4"/>
    </row>
    <row r="649" spans="1:3" ht="15.75" customHeight="1" x14ac:dyDescent="0.35">
      <c r="A649" s="4"/>
      <c r="B649" s="4"/>
      <c r="C649" s="4"/>
    </row>
    <row r="650" spans="1:3" ht="15.75" customHeight="1" x14ac:dyDescent="0.35">
      <c r="A650" s="4"/>
      <c r="B650" s="4"/>
      <c r="C650" s="4"/>
    </row>
    <row r="651" spans="1:3" ht="15.75" customHeight="1" x14ac:dyDescent="0.35">
      <c r="A651" s="4"/>
      <c r="B651" s="4"/>
      <c r="C651" s="4"/>
    </row>
    <row r="652" spans="1:3" ht="15.75" customHeight="1" x14ac:dyDescent="0.35">
      <c r="A652" s="4"/>
      <c r="B652" s="4"/>
      <c r="C652" s="4"/>
    </row>
    <row r="653" spans="1:3" ht="15.75" customHeight="1" x14ac:dyDescent="0.35">
      <c r="A653" s="4"/>
      <c r="B653" s="4"/>
      <c r="C653" s="4"/>
    </row>
    <row r="654" spans="1:3" ht="15.75" customHeight="1" x14ac:dyDescent="0.35">
      <c r="A654" s="4"/>
      <c r="B654" s="4"/>
      <c r="C654" s="4"/>
    </row>
    <row r="655" spans="1:3" ht="15.75" customHeight="1" x14ac:dyDescent="0.35">
      <c r="A655" s="4"/>
      <c r="B655" s="4"/>
      <c r="C655" s="4"/>
    </row>
    <row r="656" spans="1:3" ht="15.75" customHeight="1" x14ac:dyDescent="0.35">
      <c r="A656" s="4"/>
      <c r="B656" s="4"/>
      <c r="C656" s="4"/>
    </row>
    <row r="657" spans="1:3" ht="15.75" customHeight="1" x14ac:dyDescent="0.35">
      <c r="A657" s="4"/>
      <c r="B657" s="4"/>
      <c r="C657" s="4"/>
    </row>
    <row r="658" spans="1:3" ht="15.75" customHeight="1" x14ac:dyDescent="0.35">
      <c r="A658" s="4"/>
      <c r="B658" s="4"/>
      <c r="C658" s="4"/>
    </row>
    <row r="659" spans="1:3" ht="15.75" customHeight="1" x14ac:dyDescent="0.35">
      <c r="A659" s="4"/>
      <c r="B659" s="4"/>
      <c r="C659" s="4"/>
    </row>
    <row r="660" spans="1:3" ht="15.75" customHeight="1" x14ac:dyDescent="0.35">
      <c r="A660" s="4"/>
      <c r="B660" s="4"/>
      <c r="C660" s="4"/>
    </row>
    <row r="661" spans="1:3" ht="15.75" customHeight="1" x14ac:dyDescent="0.35">
      <c r="A661" s="4"/>
      <c r="B661" s="4"/>
      <c r="C661" s="4"/>
    </row>
    <row r="662" spans="1:3" ht="15.75" customHeight="1" x14ac:dyDescent="0.35">
      <c r="A662" s="4"/>
      <c r="B662" s="4"/>
      <c r="C662" s="4"/>
    </row>
    <row r="663" spans="1:3" ht="15.75" customHeight="1" x14ac:dyDescent="0.35">
      <c r="A663" s="4"/>
      <c r="B663" s="4"/>
      <c r="C663" s="4"/>
    </row>
    <row r="664" spans="1:3" ht="15.75" customHeight="1" x14ac:dyDescent="0.35">
      <c r="A664" s="4"/>
      <c r="B664" s="4"/>
      <c r="C664" s="4"/>
    </row>
    <row r="665" spans="1:3" ht="15.75" customHeight="1" x14ac:dyDescent="0.35">
      <c r="A665" s="4"/>
      <c r="B665" s="4"/>
      <c r="C665" s="4"/>
    </row>
    <row r="666" spans="1:3" ht="15.75" customHeight="1" x14ac:dyDescent="0.35">
      <c r="A666" s="4"/>
      <c r="B666" s="4"/>
      <c r="C666" s="4"/>
    </row>
    <row r="667" spans="1:3" ht="15.75" customHeight="1" x14ac:dyDescent="0.35">
      <c r="A667" s="4"/>
      <c r="B667" s="4"/>
      <c r="C667" s="4"/>
    </row>
    <row r="668" spans="1:3" ht="15.75" customHeight="1" x14ac:dyDescent="0.35">
      <c r="A668" s="4"/>
      <c r="B668" s="4"/>
      <c r="C668" s="4"/>
    </row>
    <row r="669" spans="1:3" ht="15.75" customHeight="1" x14ac:dyDescent="0.35">
      <c r="A669" s="4"/>
      <c r="B669" s="4"/>
      <c r="C669" s="4"/>
    </row>
    <row r="670" spans="1:3" ht="15.75" customHeight="1" x14ac:dyDescent="0.35">
      <c r="A670" s="4"/>
      <c r="B670" s="4"/>
      <c r="C670" s="4"/>
    </row>
    <row r="671" spans="1:3" ht="15.75" customHeight="1" x14ac:dyDescent="0.35">
      <c r="A671" s="4"/>
      <c r="B671" s="4"/>
      <c r="C671" s="4"/>
    </row>
    <row r="672" spans="1:3" ht="15.75" customHeight="1" x14ac:dyDescent="0.35">
      <c r="A672" s="4"/>
      <c r="B672" s="4"/>
      <c r="C672" s="4"/>
    </row>
    <row r="673" spans="1:3" ht="15.75" customHeight="1" x14ac:dyDescent="0.35">
      <c r="A673" s="4"/>
      <c r="B673" s="4"/>
      <c r="C673" s="4"/>
    </row>
    <row r="674" spans="1:3" ht="15.75" customHeight="1" x14ac:dyDescent="0.35">
      <c r="A674" s="4"/>
      <c r="B674" s="4"/>
      <c r="C674" s="4"/>
    </row>
    <row r="675" spans="1:3" ht="15.75" customHeight="1" x14ac:dyDescent="0.35">
      <c r="A675" s="4"/>
      <c r="B675" s="4"/>
      <c r="C675" s="4"/>
    </row>
    <row r="676" spans="1:3" ht="15.75" customHeight="1" x14ac:dyDescent="0.35">
      <c r="A676" s="4"/>
      <c r="B676" s="4"/>
      <c r="C676" s="4"/>
    </row>
    <row r="677" spans="1:3" ht="15.75" customHeight="1" x14ac:dyDescent="0.35">
      <c r="A677" s="4"/>
      <c r="B677" s="4"/>
      <c r="C677" s="4"/>
    </row>
    <row r="678" spans="1:3" ht="15.75" customHeight="1" x14ac:dyDescent="0.35">
      <c r="A678" s="4"/>
      <c r="B678" s="4"/>
      <c r="C678" s="4"/>
    </row>
    <row r="679" spans="1:3" ht="15.75" customHeight="1" x14ac:dyDescent="0.35">
      <c r="A679" s="4"/>
      <c r="B679" s="4"/>
      <c r="C679" s="4"/>
    </row>
    <row r="680" spans="1:3" ht="15.75" customHeight="1" x14ac:dyDescent="0.35">
      <c r="A680" s="4"/>
      <c r="B680" s="4"/>
      <c r="C680" s="4"/>
    </row>
    <row r="681" spans="1:3" ht="15.75" customHeight="1" x14ac:dyDescent="0.35">
      <c r="A681" s="4"/>
      <c r="B681" s="4"/>
      <c r="C681" s="4"/>
    </row>
    <row r="682" spans="1:3" ht="15.75" customHeight="1" x14ac:dyDescent="0.35">
      <c r="A682" s="4"/>
      <c r="B682" s="4"/>
      <c r="C682" s="4"/>
    </row>
    <row r="683" spans="1:3" ht="15.75" customHeight="1" x14ac:dyDescent="0.35">
      <c r="A683" s="4"/>
      <c r="B683" s="4"/>
      <c r="C683" s="4"/>
    </row>
    <row r="684" spans="1:3" ht="15.75" customHeight="1" x14ac:dyDescent="0.35">
      <c r="A684" s="4"/>
      <c r="B684" s="4"/>
      <c r="C684" s="4"/>
    </row>
    <row r="685" spans="1:3" ht="15.75" customHeight="1" x14ac:dyDescent="0.35">
      <c r="A685" s="4"/>
      <c r="B685" s="4"/>
      <c r="C685" s="4"/>
    </row>
    <row r="686" spans="1:3" ht="15.75" customHeight="1" x14ac:dyDescent="0.35">
      <c r="A686" s="4"/>
      <c r="B686" s="4"/>
      <c r="C686" s="4"/>
    </row>
    <row r="687" spans="1:3" ht="15.75" customHeight="1" x14ac:dyDescent="0.35">
      <c r="A687" s="4"/>
      <c r="B687" s="4"/>
      <c r="C687" s="4"/>
    </row>
    <row r="688" spans="1:3" ht="15.75" customHeight="1" x14ac:dyDescent="0.35">
      <c r="A688" s="4"/>
      <c r="B688" s="4"/>
      <c r="C688" s="4"/>
    </row>
    <row r="689" spans="1:3" ht="15.75" customHeight="1" x14ac:dyDescent="0.35">
      <c r="A689" s="4"/>
      <c r="B689" s="4"/>
      <c r="C689" s="4"/>
    </row>
    <row r="690" spans="1:3" ht="15.75" customHeight="1" x14ac:dyDescent="0.35">
      <c r="A690" s="4"/>
      <c r="B690" s="4"/>
      <c r="C690" s="4"/>
    </row>
    <row r="691" spans="1:3" ht="15.75" customHeight="1" x14ac:dyDescent="0.35">
      <c r="A691" s="4"/>
      <c r="B691" s="4"/>
      <c r="C691" s="4"/>
    </row>
    <row r="692" spans="1:3" ht="15.75" customHeight="1" x14ac:dyDescent="0.35">
      <c r="A692" s="4"/>
      <c r="B692" s="4"/>
      <c r="C692" s="4"/>
    </row>
    <row r="693" spans="1:3" ht="15.75" customHeight="1" x14ac:dyDescent="0.35">
      <c r="A693" s="4"/>
      <c r="B693" s="4"/>
      <c r="C693" s="4"/>
    </row>
    <row r="694" spans="1:3" ht="15.75" customHeight="1" x14ac:dyDescent="0.35">
      <c r="A694" s="4"/>
      <c r="B694" s="4"/>
      <c r="C694" s="4"/>
    </row>
    <row r="695" spans="1:3" ht="15.75" customHeight="1" x14ac:dyDescent="0.35">
      <c r="A695" s="4"/>
      <c r="B695" s="4"/>
      <c r="C695" s="4"/>
    </row>
    <row r="696" spans="1:3" ht="15.75" customHeight="1" x14ac:dyDescent="0.35">
      <c r="A696" s="4"/>
      <c r="B696" s="4"/>
      <c r="C696" s="4"/>
    </row>
    <row r="697" spans="1:3" ht="15.75" customHeight="1" x14ac:dyDescent="0.35">
      <c r="A697" s="4"/>
      <c r="B697" s="4"/>
      <c r="C697" s="4"/>
    </row>
    <row r="698" spans="1:3" ht="15.75" customHeight="1" x14ac:dyDescent="0.35">
      <c r="A698" s="4"/>
      <c r="B698" s="4"/>
      <c r="C698" s="4"/>
    </row>
    <row r="699" spans="1:3" ht="15.75" customHeight="1" x14ac:dyDescent="0.35">
      <c r="A699" s="4"/>
      <c r="B699" s="4"/>
      <c r="C699" s="4"/>
    </row>
    <row r="700" spans="1:3" ht="15.75" customHeight="1" x14ac:dyDescent="0.35">
      <c r="A700" s="4"/>
      <c r="B700" s="4"/>
      <c r="C700" s="4"/>
    </row>
    <row r="701" spans="1:3" ht="15.75" customHeight="1" x14ac:dyDescent="0.35">
      <c r="A701" s="4"/>
      <c r="B701" s="4"/>
      <c r="C701" s="4"/>
    </row>
    <row r="702" spans="1:3" ht="15.75" customHeight="1" x14ac:dyDescent="0.35">
      <c r="A702" s="4"/>
      <c r="B702" s="4"/>
      <c r="C702" s="4"/>
    </row>
    <row r="703" spans="1:3" ht="15.75" customHeight="1" x14ac:dyDescent="0.35">
      <c r="A703" s="4"/>
      <c r="B703" s="4"/>
      <c r="C703" s="4"/>
    </row>
    <row r="704" spans="1:3" ht="15.75" customHeight="1" x14ac:dyDescent="0.35">
      <c r="A704" s="4"/>
      <c r="B704" s="4"/>
      <c r="C704" s="4"/>
    </row>
    <row r="705" spans="1:3" ht="15.75" customHeight="1" x14ac:dyDescent="0.35">
      <c r="A705" s="4"/>
      <c r="B705" s="4"/>
      <c r="C705" s="4"/>
    </row>
    <row r="706" spans="1:3" ht="15.75" customHeight="1" x14ac:dyDescent="0.35">
      <c r="A706" s="4"/>
      <c r="B706" s="4"/>
      <c r="C706" s="4"/>
    </row>
    <row r="707" spans="1:3" ht="15.75" customHeight="1" x14ac:dyDescent="0.35">
      <c r="A707" s="4"/>
      <c r="B707" s="4"/>
      <c r="C707" s="4"/>
    </row>
    <row r="708" spans="1:3" ht="15.75" customHeight="1" x14ac:dyDescent="0.35">
      <c r="A708" s="4"/>
      <c r="B708" s="4"/>
      <c r="C708" s="4"/>
    </row>
    <row r="709" spans="1:3" ht="15.75" customHeight="1" x14ac:dyDescent="0.35">
      <c r="A709" s="4"/>
      <c r="B709" s="4"/>
      <c r="C709" s="4"/>
    </row>
    <row r="710" spans="1:3" ht="15.75" customHeight="1" x14ac:dyDescent="0.35">
      <c r="A710" s="4"/>
      <c r="B710" s="4"/>
      <c r="C710" s="4"/>
    </row>
    <row r="711" spans="1:3" ht="15.75" customHeight="1" x14ac:dyDescent="0.35">
      <c r="A711" s="4"/>
      <c r="B711" s="4"/>
      <c r="C711" s="4"/>
    </row>
    <row r="712" spans="1:3" ht="15.75" customHeight="1" x14ac:dyDescent="0.35">
      <c r="A712" s="4"/>
      <c r="B712" s="4"/>
      <c r="C712" s="4"/>
    </row>
    <row r="713" spans="1:3" ht="15.75" customHeight="1" x14ac:dyDescent="0.35">
      <c r="A713" s="4"/>
      <c r="B713" s="4"/>
      <c r="C713" s="4"/>
    </row>
    <row r="714" spans="1:3" ht="15.75" customHeight="1" x14ac:dyDescent="0.35">
      <c r="A714" s="4"/>
      <c r="B714" s="4"/>
      <c r="C714" s="4"/>
    </row>
    <row r="715" spans="1:3" ht="15.75" customHeight="1" x14ac:dyDescent="0.35">
      <c r="A715" s="4"/>
      <c r="B715" s="4"/>
      <c r="C715" s="4"/>
    </row>
    <row r="716" spans="1:3" ht="15.75" customHeight="1" x14ac:dyDescent="0.35">
      <c r="A716" s="4"/>
      <c r="B716" s="4"/>
      <c r="C716" s="4"/>
    </row>
    <row r="717" spans="1:3" ht="15.75" customHeight="1" x14ac:dyDescent="0.35">
      <c r="A717" s="4"/>
      <c r="B717" s="4"/>
      <c r="C717" s="4"/>
    </row>
    <row r="718" spans="1:3" ht="15.75" customHeight="1" x14ac:dyDescent="0.35">
      <c r="A718" s="4"/>
      <c r="B718" s="4"/>
      <c r="C718" s="4"/>
    </row>
    <row r="719" spans="1:3" ht="15.75" customHeight="1" x14ac:dyDescent="0.35">
      <c r="A719" s="4"/>
      <c r="B719" s="4"/>
      <c r="C719" s="4"/>
    </row>
    <row r="720" spans="1:3" ht="15.75" customHeight="1" x14ac:dyDescent="0.35">
      <c r="A720" s="4"/>
      <c r="B720" s="4"/>
      <c r="C720" s="4"/>
    </row>
    <row r="721" spans="1:3" ht="15.75" customHeight="1" x14ac:dyDescent="0.35">
      <c r="A721" s="4"/>
      <c r="B721" s="4"/>
      <c r="C721" s="4"/>
    </row>
    <row r="722" spans="1:3" ht="15.75" customHeight="1" x14ac:dyDescent="0.35">
      <c r="A722" s="4"/>
      <c r="B722" s="4"/>
      <c r="C722" s="4"/>
    </row>
    <row r="723" spans="1:3" ht="15.75" customHeight="1" x14ac:dyDescent="0.35">
      <c r="A723" s="4"/>
      <c r="B723" s="4"/>
      <c r="C723" s="4"/>
    </row>
    <row r="724" spans="1:3" ht="15.75" customHeight="1" x14ac:dyDescent="0.35">
      <c r="A724" s="4"/>
      <c r="B724" s="4"/>
      <c r="C724" s="4"/>
    </row>
    <row r="725" spans="1:3" ht="15.75" customHeight="1" x14ac:dyDescent="0.35">
      <c r="A725" s="4"/>
      <c r="B725" s="4"/>
      <c r="C725" s="4"/>
    </row>
    <row r="726" spans="1:3" ht="15.75" customHeight="1" x14ac:dyDescent="0.35">
      <c r="A726" s="4"/>
      <c r="B726" s="4"/>
      <c r="C726" s="4"/>
    </row>
    <row r="727" spans="1:3" ht="15.75" customHeight="1" x14ac:dyDescent="0.35">
      <c r="A727" s="4"/>
      <c r="B727" s="4"/>
      <c r="C727" s="4"/>
    </row>
    <row r="728" spans="1:3" ht="15.75" customHeight="1" x14ac:dyDescent="0.35">
      <c r="A728" s="4"/>
      <c r="B728" s="4"/>
      <c r="C728" s="4"/>
    </row>
    <row r="729" spans="1:3" ht="15.75" customHeight="1" x14ac:dyDescent="0.35">
      <c r="A729" s="4"/>
      <c r="B729" s="4"/>
      <c r="C729" s="4"/>
    </row>
    <row r="730" spans="1:3" ht="15.75" customHeight="1" x14ac:dyDescent="0.35">
      <c r="A730" s="4"/>
      <c r="B730" s="4"/>
      <c r="C730" s="4"/>
    </row>
    <row r="731" spans="1:3" ht="15.75" customHeight="1" x14ac:dyDescent="0.35">
      <c r="A731" s="4"/>
      <c r="B731" s="4"/>
      <c r="C731" s="4"/>
    </row>
    <row r="732" spans="1:3" ht="15.75" customHeight="1" x14ac:dyDescent="0.35">
      <c r="A732" s="4"/>
      <c r="B732" s="4"/>
      <c r="C732" s="4"/>
    </row>
    <row r="733" spans="1:3" ht="15.75" customHeight="1" x14ac:dyDescent="0.35">
      <c r="A733" s="4"/>
      <c r="B733" s="4"/>
      <c r="C733" s="4"/>
    </row>
    <row r="734" spans="1:3" ht="15.75" customHeight="1" x14ac:dyDescent="0.35">
      <c r="A734" s="4"/>
      <c r="B734" s="4"/>
      <c r="C734" s="4"/>
    </row>
    <row r="735" spans="1:3" ht="15.75" customHeight="1" x14ac:dyDescent="0.35">
      <c r="A735" s="4"/>
      <c r="B735" s="4"/>
      <c r="C735" s="4"/>
    </row>
    <row r="736" spans="1:3" ht="15.75" customHeight="1" x14ac:dyDescent="0.35">
      <c r="A736" s="4"/>
      <c r="B736" s="4"/>
      <c r="C736" s="4"/>
    </row>
    <row r="737" spans="1:3" ht="15.75" customHeight="1" x14ac:dyDescent="0.35">
      <c r="A737" s="4"/>
      <c r="B737" s="4"/>
      <c r="C737" s="4"/>
    </row>
    <row r="738" spans="1:3" ht="15.75" customHeight="1" x14ac:dyDescent="0.35">
      <c r="A738" s="4"/>
      <c r="B738" s="4"/>
      <c r="C738" s="4"/>
    </row>
    <row r="739" spans="1:3" ht="15.75" customHeight="1" x14ac:dyDescent="0.35">
      <c r="A739" s="4"/>
      <c r="B739" s="4"/>
      <c r="C739" s="4"/>
    </row>
    <row r="740" spans="1:3" ht="15.75" customHeight="1" x14ac:dyDescent="0.35">
      <c r="A740" s="4"/>
      <c r="B740" s="4"/>
      <c r="C740" s="4"/>
    </row>
    <row r="741" spans="1:3" ht="15.75" customHeight="1" x14ac:dyDescent="0.35">
      <c r="A741" s="4"/>
      <c r="B741" s="4"/>
      <c r="C741" s="4"/>
    </row>
    <row r="742" spans="1:3" ht="15.75" customHeight="1" x14ac:dyDescent="0.35">
      <c r="A742" s="4"/>
      <c r="B742" s="4"/>
      <c r="C742" s="4"/>
    </row>
    <row r="743" spans="1:3" ht="15.75" customHeight="1" x14ac:dyDescent="0.35">
      <c r="A743" s="4"/>
      <c r="B743" s="4"/>
      <c r="C743" s="4"/>
    </row>
    <row r="744" spans="1:3" ht="15.75" customHeight="1" x14ac:dyDescent="0.35">
      <c r="A744" s="4"/>
      <c r="B744" s="4"/>
      <c r="C744" s="4"/>
    </row>
    <row r="745" spans="1:3" ht="15.75" customHeight="1" x14ac:dyDescent="0.35">
      <c r="A745" s="4"/>
      <c r="B745" s="4"/>
      <c r="C745" s="4"/>
    </row>
    <row r="746" spans="1:3" ht="15.75" customHeight="1" x14ac:dyDescent="0.35">
      <c r="A746" s="4"/>
      <c r="B746" s="4"/>
      <c r="C746" s="4"/>
    </row>
    <row r="747" spans="1:3" ht="15.75" customHeight="1" x14ac:dyDescent="0.35">
      <c r="A747" s="4"/>
      <c r="B747" s="4"/>
      <c r="C747" s="4"/>
    </row>
    <row r="748" spans="1:3" ht="15.75" customHeight="1" x14ac:dyDescent="0.35">
      <c r="A748" s="4"/>
      <c r="B748" s="4"/>
      <c r="C748" s="4"/>
    </row>
    <row r="749" spans="1:3" ht="15.75" customHeight="1" x14ac:dyDescent="0.35">
      <c r="A749" s="4"/>
      <c r="B749" s="4"/>
      <c r="C749" s="4"/>
    </row>
    <row r="750" spans="1:3" ht="15.75" customHeight="1" x14ac:dyDescent="0.35">
      <c r="A750" s="4"/>
      <c r="B750" s="4"/>
      <c r="C750" s="4"/>
    </row>
    <row r="751" spans="1:3" ht="15.75" customHeight="1" x14ac:dyDescent="0.35">
      <c r="A751" s="4"/>
      <c r="B751" s="4"/>
      <c r="C751" s="4"/>
    </row>
    <row r="752" spans="1:3" ht="15.75" customHeight="1" x14ac:dyDescent="0.35">
      <c r="A752" s="4"/>
      <c r="B752" s="4"/>
      <c r="C752" s="4"/>
    </row>
    <row r="753" spans="1:3" ht="15.75" customHeight="1" x14ac:dyDescent="0.35">
      <c r="A753" s="4"/>
      <c r="B753" s="4"/>
      <c r="C753" s="4"/>
    </row>
    <row r="754" spans="1:3" ht="15.75" customHeight="1" x14ac:dyDescent="0.35">
      <c r="A754" s="4"/>
      <c r="B754" s="4"/>
      <c r="C754" s="4"/>
    </row>
    <row r="755" spans="1:3" ht="15.75" customHeight="1" x14ac:dyDescent="0.35">
      <c r="A755" s="4"/>
      <c r="B755" s="4"/>
      <c r="C755" s="4"/>
    </row>
    <row r="756" spans="1:3" ht="15.75" customHeight="1" x14ac:dyDescent="0.35">
      <c r="A756" s="4"/>
      <c r="B756" s="4"/>
      <c r="C756" s="4"/>
    </row>
    <row r="757" spans="1:3" ht="15.75" customHeight="1" x14ac:dyDescent="0.35">
      <c r="A757" s="4"/>
      <c r="B757" s="4"/>
      <c r="C757" s="4"/>
    </row>
    <row r="758" spans="1:3" ht="15.75" customHeight="1" x14ac:dyDescent="0.35">
      <c r="A758" s="4"/>
      <c r="B758" s="4"/>
      <c r="C758" s="4"/>
    </row>
    <row r="759" spans="1:3" ht="15.75" customHeight="1" x14ac:dyDescent="0.35">
      <c r="A759" s="4"/>
      <c r="B759" s="4"/>
      <c r="C759" s="4"/>
    </row>
    <row r="760" spans="1:3" ht="15.75" customHeight="1" x14ac:dyDescent="0.35">
      <c r="A760" s="4"/>
      <c r="B760" s="4"/>
      <c r="C760" s="4"/>
    </row>
    <row r="761" spans="1:3" ht="15.75" customHeight="1" x14ac:dyDescent="0.35">
      <c r="A761" s="4"/>
      <c r="B761" s="4"/>
      <c r="C761" s="4"/>
    </row>
    <row r="762" spans="1:3" ht="15.75" customHeight="1" x14ac:dyDescent="0.35">
      <c r="A762" s="4"/>
      <c r="B762" s="4"/>
      <c r="C762" s="4"/>
    </row>
    <row r="763" spans="1:3" ht="15.75" customHeight="1" x14ac:dyDescent="0.35">
      <c r="A763" s="4"/>
      <c r="B763" s="4"/>
      <c r="C763" s="4"/>
    </row>
    <row r="764" spans="1:3" ht="15.75" customHeight="1" x14ac:dyDescent="0.35">
      <c r="A764" s="4"/>
      <c r="B764" s="4"/>
      <c r="C764" s="4"/>
    </row>
    <row r="765" spans="1:3" ht="15.75" customHeight="1" x14ac:dyDescent="0.35">
      <c r="A765" s="4"/>
      <c r="B765" s="4"/>
      <c r="C765" s="4"/>
    </row>
    <row r="766" spans="1:3" ht="15.75" customHeight="1" x14ac:dyDescent="0.35">
      <c r="A766" s="4"/>
      <c r="B766" s="4"/>
      <c r="C766" s="4"/>
    </row>
    <row r="767" spans="1:3" ht="15.75" customHeight="1" x14ac:dyDescent="0.35">
      <c r="A767" s="4"/>
      <c r="B767" s="4"/>
      <c r="C767" s="4"/>
    </row>
    <row r="768" spans="1:3" ht="15.75" customHeight="1" x14ac:dyDescent="0.35">
      <c r="A768" s="4"/>
      <c r="B768" s="4"/>
      <c r="C768" s="4"/>
    </row>
    <row r="769" spans="1:3" ht="15.75" customHeight="1" x14ac:dyDescent="0.35">
      <c r="A769" s="4"/>
      <c r="B769" s="4"/>
      <c r="C769" s="4"/>
    </row>
    <row r="770" spans="1:3" ht="15.75" customHeight="1" x14ac:dyDescent="0.35">
      <c r="A770" s="4"/>
      <c r="B770" s="4"/>
      <c r="C770" s="4"/>
    </row>
    <row r="771" spans="1:3" ht="15.75" customHeight="1" x14ac:dyDescent="0.35">
      <c r="A771" s="4"/>
      <c r="B771" s="4"/>
      <c r="C771" s="4"/>
    </row>
    <row r="772" spans="1:3" ht="15.75" customHeight="1" x14ac:dyDescent="0.35">
      <c r="A772" s="4"/>
      <c r="B772" s="4"/>
      <c r="C772" s="4"/>
    </row>
    <row r="773" spans="1:3" ht="15.75" customHeight="1" x14ac:dyDescent="0.35">
      <c r="A773" s="4"/>
      <c r="B773" s="4"/>
      <c r="C773" s="4"/>
    </row>
    <row r="774" spans="1:3" ht="15.75" customHeight="1" x14ac:dyDescent="0.35">
      <c r="A774" s="4"/>
      <c r="B774" s="4"/>
      <c r="C774" s="4"/>
    </row>
    <row r="775" spans="1:3" ht="15.75" customHeight="1" x14ac:dyDescent="0.35">
      <c r="A775" s="4"/>
      <c r="B775" s="4"/>
      <c r="C775" s="4"/>
    </row>
    <row r="776" spans="1:3" ht="15.75" customHeight="1" x14ac:dyDescent="0.35">
      <c r="A776" s="4"/>
      <c r="B776" s="4"/>
      <c r="C776" s="4"/>
    </row>
    <row r="777" spans="1:3" ht="15.75" customHeight="1" x14ac:dyDescent="0.35">
      <c r="A777" s="4"/>
      <c r="B777" s="4"/>
      <c r="C777" s="4"/>
    </row>
    <row r="778" spans="1:3" ht="15.75" customHeight="1" x14ac:dyDescent="0.35">
      <c r="A778" s="4"/>
      <c r="B778" s="4"/>
      <c r="C778" s="4"/>
    </row>
    <row r="779" spans="1:3" ht="15.75" customHeight="1" x14ac:dyDescent="0.35">
      <c r="A779" s="4"/>
      <c r="B779" s="4"/>
      <c r="C779" s="4"/>
    </row>
    <row r="780" spans="1:3" ht="15.75" customHeight="1" x14ac:dyDescent="0.35">
      <c r="A780" s="4"/>
      <c r="B780" s="4"/>
      <c r="C780" s="4"/>
    </row>
    <row r="781" spans="1:3" ht="15.75" customHeight="1" x14ac:dyDescent="0.35">
      <c r="A781" s="4"/>
      <c r="B781" s="4"/>
      <c r="C781" s="4"/>
    </row>
    <row r="782" spans="1:3" ht="15.75" customHeight="1" x14ac:dyDescent="0.35">
      <c r="A782" s="4"/>
      <c r="B782" s="4"/>
      <c r="C782" s="4"/>
    </row>
    <row r="783" spans="1:3" ht="15.75" customHeight="1" x14ac:dyDescent="0.35">
      <c r="A783" s="4"/>
      <c r="B783" s="4"/>
      <c r="C783" s="4"/>
    </row>
    <row r="784" spans="1:3" ht="15.75" customHeight="1" x14ac:dyDescent="0.35">
      <c r="A784" s="4"/>
      <c r="B784" s="4"/>
      <c r="C784" s="4"/>
    </row>
    <row r="785" spans="1:3" ht="15.75" customHeight="1" x14ac:dyDescent="0.35">
      <c r="A785" s="4"/>
      <c r="B785" s="4"/>
      <c r="C785" s="4"/>
    </row>
    <row r="786" spans="1:3" ht="15.75" customHeight="1" x14ac:dyDescent="0.35">
      <c r="A786" s="4"/>
      <c r="B786" s="4"/>
      <c r="C786" s="4"/>
    </row>
    <row r="787" spans="1:3" ht="15.75" customHeight="1" x14ac:dyDescent="0.35">
      <c r="A787" s="4"/>
      <c r="B787" s="4"/>
      <c r="C787" s="4"/>
    </row>
    <row r="788" spans="1:3" ht="15.75" customHeight="1" x14ac:dyDescent="0.35">
      <c r="A788" s="4"/>
      <c r="B788" s="4"/>
      <c r="C788" s="4"/>
    </row>
    <row r="789" spans="1:3" ht="15.75" customHeight="1" x14ac:dyDescent="0.35">
      <c r="A789" s="4"/>
      <c r="B789" s="4"/>
      <c r="C789" s="4"/>
    </row>
    <row r="790" spans="1:3" ht="15.75" customHeight="1" x14ac:dyDescent="0.35">
      <c r="A790" s="4"/>
      <c r="B790" s="4"/>
      <c r="C790" s="4"/>
    </row>
    <row r="791" spans="1:3" ht="15.75" customHeight="1" x14ac:dyDescent="0.35">
      <c r="A791" s="4"/>
      <c r="B791" s="4"/>
      <c r="C791" s="4"/>
    </row>
    <row r="792" spans="1:3" ht="15.75" customHeight="1" x14ac:dyDescent="0.35">
      <c r="A792" s="4"/>
      <c r="B792" s="4"/>
      <c r="C792" s="4"/>
    </row>
    <row r="793" spans="1:3" ht="15.75" customHeight="1" x14ac:dyDescent="0.35">
      <c r="A793" s="4"/>
      <c r="B793" s="4"/>
      <c r="C793" s="4"/>
    </row>
    <row r="794" spans="1:3" ht="15.75" customHeight="1" x14ac:dyDescent="0.35">
      <c r="A794" s="4"/>
      <c r="B794" s="4"/>
      <c r="C794" s="4"/>
    </row>
    <row r="795" spans="1:3" ht="15.75" customHeight="1" x14ac:dyDescent="0.35">
      <c r="A795" s="4"/>
      <c r="B795" s="4"/>
      <c r="C795" s="4"/>
    </row>
    <row r="796" spans="1:3" ht="15.75" customHeight="1" x14ac:dyDescent="0.35">
      <c r="A796" s="4"/>
      <c r="B796" s="4"/>
      <c r="C796" s="4"/>
    </row>
    <row r="797" spans="1:3" ht="15.75" customHeight="1" x14ac:dyDescent="0.35">
      <c r="A797" s="4"/>
      <c r="B797" s="4"/>
      <c r="C797" s="4"/>
    </row>
    <row r="798" spans="1:3" ht="15.75" customHeight="1" x14ac:dyDescent="0.35">
      <c r="A798" s="4"/>
      <c r="B798" s="4"/>
      <c r="C798" s="4"/>
    </row>
    <row r="799" spans="1:3" ht="15.75" customHeight="1" x14ac:dyDescent="0.35">
      <c r="A799" s="4"/>
      <c r="B799" s="4"/>
      <c r="C799" s="4"/>
    </row>
    <row r="800" spans="1:3" ht="15.75" customHeight="1" x14ac:dyDescent="0.35">
      <c r="A800" s="4"/>
      <c r="B800" s="4"/>
      <c r="C800" s="4"/>
    </row>
    <row r="801" spans="1:3" ht="15.75" customHeight="1" x14ac:dyDescent="0.35">
      <c r="A801" s="4"/>
      <c r="B801" s="4"/>
      <c r="C801" s="4"/>
    </row>
    <row r="802" spans="1:3" ht="15.75" customHeight="1" x14ac:dyDescent="0.35">
      <c r="A802" s="4"/>
      <c r="B802" s="4"/>
      <c r="C802" s="4"/>
    </row>
    <row r="803" spans="1:3" ht="15.75" customHeight="1" x14ac:dyDescent="0.35">
      <c r="A803" s="4"/>
      <c r="B803" s="4"/>
      <c r="C803" s="4"/>
    </row>
    <row r="804" spans="1:3" ht="15.75" customHeight="1" x14ac:dyDescent="0.35">
      <c r="A804" s="4"/>
      <c r="B804" s="4"/>
      <c r="C804" s="4"/>
    </row>
    <row r="805" spans="1:3" ht="15.75" customHeight="1" x14ac:dyDescent="0.35">
      <c r="A805" s="4"/>
      <c r="B805" s="4"/>
      <c r="C805" s="4"/>
    </row>
    <row r="806" spans="1:3" ht="15.75" customHeight="1" x14ac:dyDescent="0.35">
      <c r="A806" s="4"/>
      <c r="B806" s="4"/>
      <c r="C806" s="4"/>
    </row>
    <row r="807" spans="1:3" ht="15.75" customHeight="1" x14ac:dyDescent="0.35">
      <c r="A807" s="4"/>
      <c r="B807" s="4"/>
      <c r="C807" s="4"/>
    </row>
    <row r="808" spans="1:3" ht="15.75" customHeight="1" x14ac:dyDescent="0.35">
      <c r="A808" s="4"/>
      <c r="B808" s="4"/>
      <c r="C808" s="4"/>
    </row>
    <row r="809" spans="1:3" ht="15.75" customHeight="1" x14ac:dyDescent="0.35">
      <c r="A809" s="4"/>
      <c r="B809" s="4"/>
      <c r="C809" s="4"/>
    </row>
    <row r="810" spans="1:3" ht="15.75" customHeight="1" x14ac:dyDescent="0.35">
      <c r="A810" s="4"/>
      <c r="B810" s="4"/>
      <c r="C810" s="4"/>
    </row>
    <row r="811" spans="1:3" ht="15.75" customHeight="1" x14ac:dyDescent="0.35">
      <c r="A811" s="4"/>
      <c r="B811" s="4"/>
      <c r="C811" s="4"/>
    </row>
    <row r="812" spans="1:3" ht="15.75" customHeight="1" x14ac:dyDescent="0.35">
      <c r="A812" s="4"/>
      <c r="B812" s="4"/>
      <c r="C812" s="4"/>
    </row>
    <row r="813" spans="1:3" ht="15.75" customHeight="1" x14ac:dyDescent="0.35">
      <c r="A813" s="4"/>
      <c r="B813" s="4"/>
      <c r="C813" s="4"/>
    </row>
    <row r="814" spans="1:3" ht="15.75" customHeight="1" x14ac:dyDescent="0.35">
      <c r="A814" s="4"/>
      <c r="B814" s="4"/>
      <c r="C814" s="4"/>
    </row>
    <row r="815" spans="1:3" ht="15.75" customHeight="1" x14ac:dyDescent="0.35">
      <c r="A815" s="4"/>
      <c r="B815" s="4"/>
      <c r="C815" s="4"/>
    </row>
    <row r="816" spans="1:3" ht="15.75" customHeight="1" x14ac:dyDescent="0.35">
      <c r="A816" s="4"/>
      <c r="B816" s="4"/>
      <c r="C816" s="4"/>
    </row>
    <row r="817" spans="1:3" ht="15.75" customHeight="1" x14ac:dyDescent="0.35">
      <c r="A817" s="4"/>
      <c r="B817" s="4"/>
      <c r="C817" s="4"/>
    </row>
    <row r="818" spans="1:3" ht="15.75" customHeight="1" x14ac:dyDescent="0.35">
      <c r="A818" s="4"/>
      <c r="B818" s="4"/>
      <c r="C818" s="4"/>
    </row>
    <row r="819" spans="1:3" ht="15.75" customHeight="1" x14ac:dyDescent="0.35">
      <c r="A819" s="4"/>
      <c r="B819" s="4"/>
      <c r="C819" s="4"/>
    </row>
    <row r="820" spans="1:3" ht="15.75" customHeight="1" x14ac:dyDescent="0.35">
      <c r="A820" s="4"/>
      <c r="B820" s="4"/>
      <c r="C820" s="4"/>
    </row>
    <row r="821" spans="1:3" ht="15.75" customHeight="1" x14ac:dyDescent="0.35">
      <c r="A821" s="4"/>
      <c r="B821" s="4"/>
      <c r="C821" s="4"/>
    </row>
    <row r="822" spans="1:3" ht="15.75" customHeight="1" x14ac:dyDescent="0.35">
      <c r="A822" s="4"/>
      <c r="B822" s="4"/>
      <c r="C822" s="4"/>
    </row>
    <row r="823" spans="1:3" ht="15.75" customHeight="1" x14ac:dyDescent="0.35">
      <c r="A823" s="4"/>
      <c r="B823" s="4"/>
      <c r="C823" s="4"/>
    </row>
    <row r="824" spans="1:3" ht="15.75" customHeight="1" x14ac:dyDescent="0.35">
      <c r="A824" s="4"/>
      <c r="B824" s="4"/>
      <c r="C824" s="4"/>
    </row>
    <row r="825" spans="1:3" ht="15.75" customHeight="1" x14ac:dyDescent="0.35">
      <c r="A825" s="4"/>
      <c r="B825" s="4"/>
      <c r="C825" s="4"/>
    </row>
    <row r="826" spans="1:3" ht="15.75" customHeight="1" x14ac:dyDescent="0.35">
      <c r="A826" s="4"/>
      <c r="B826" s="4"/>
      <c r="C826" s="4"/>
    </row>
    <row r="827" spans="1:3" ht="15.75" customHeight="1" x14ac:dyDescent="0.35">
      <c r="A827" s="4"/>
      <c r="B827" s="4"/>
      <c r="C827" s="4"/>
    </row>
    <row r="828" spans="1:3" ht="15.75" customHeight="1" x14ac:dyDescent="0.35">
      <c r="A828" s="4"/>
      <c r="B828" s="4"/>
      <c r="C828" s="4"/>
    </row>
    <row r="829" spans="1:3" ht="15.75" customHeight="1" x14ac:dyDescent="0.35">
      <c r="A829" s="4"/>
      <c r="B829" s="4"/>
      <c r="C829" s="4"/>
    </row>
    <row r="830" spans="1:3" ht="15.75" customHeight="1" x14ac:dyDescent="0.35">
      <c r="A830" s="4"/>
      <c r="B830" s="4"/>
      <c r="C830" s="4"/>
    </row>
    <row r="831" spans="1:3" ht="15.75" customHeight="1" x14ac:dyDescent="0.35">
      <c r="A831" s="4"/>
      <c r="B831" s="4"/>
      <c r="C831" s="4"/>
    </row>
    <row r="832" spans="1:3" ht="15.75" customHeight="1" x14ac:dyDescent="0.35">
      <c r="A832" s="4"/>
      <c r="B832" s="4"/>
      <c r="C832" s="4"/>
    </row>
    <row r="833" spans="1:3" ht="15.75" customHeight="1" x14ac:dyDescent="0.35">
      <c r="A833" s="4"/>
      <c r="B833" s="4"/>
      <c r="C833" s="4"/>
    </row>
    <row r="834" spans="1:3" ht="15.75" customHeight="1" x14ac:dyDescent="0.35">
      <c r="A834" s="4"/>
      <c r="B834" s="4"/>
      <c r="C834" s="4"/>
    </row>
    <row r="835" spans="1:3" ht="15.75" customHeight="1" x14ac:dyDescent="0.35">
      <c r="A835" s="4"/>
      <c r="B835" s="4"/>
      <c r="C835" s="4"/>
    </row>
    <row r="836" spans="1:3" ht="15.75" customHeight="1" x14ac:dyDescent="0.35">
      <c r="A836" s="4"/>
      <c r="B836" s="4"/>
      <c r="C836" s="4"/>
    </row>
    <row r="837" spans="1:3" ht="15.75" customHeight="1" x14ac:dyDescent="0.35">
      <c r="A837" s="4"/>
      <c r="B837" s="4"/>
      <c r="C837" s="4"/>
    </row>
    <row r="838" spans="1:3" ht="15.75" customHeight="1" x14ac:dyDescent="0.35">
      <c r="A838" s="4"/>
      <c r="B838" s="4"/>
      <c r="C838" s="4"/>
    </row>
    <row r="839" spans="1:3" ht="15.75" customHeight="1" x14ac:dyDescent="0.35">
      <c r="A839" s="4"/>
      <c r="B839" s="4"/>
      <c r="C839" s="4"/>
    </row>
    <row r="840" spans="1:3" ht="15.75" customHeight="1" x14ac:dyDescent="0.35">
      <c r="A840" s="4"/>
      <c r="B840" s="4"/>
      <c r="C840" s="4"/>
    </row>
    <row r="841" spans="1:3" ht="15.75" customHeight="1" x14ac:dyDescent="0.35">
      <c r="A841" s="4"/>
      <c r="B841" s="4"/>
      <c r="C841" s="4"/>
    </row>
    <row r="842" spans="1:3" ht="15.75" customHeight="1" x14ac:dyDescent="0.35">
      <c r="A842" s="4"/>
      <c r="B842" s="4"/>
      <c r="C842" s="4"/>
    </row>
    <row r="843" spans="1:3" ht="15.75" customHeight="1" x14ac:dyDescent="0.35">
      <c r="A843" s="4"/>
      <c r="B843" s="4"/>
      <c r="C843" s="4"/>
    </row>
    <row r="844" spans="1:3" ht="15.75" customHeight="1" x14ac:dyDescent="0.35">
      <c r="A844" s="4"/>
      <c r="B844" s="4"/>
      <c r="C844" s="4"/>
    </row>
    <row r="845" spans="1:3" ht="15.75" customHeight="1" x14ac:dyDescent="0.35">
      <c r="A845" s="4"/>
      <c r="B845" s="4"/>
      <c r="C845" s="4"/>
    </row>
    <row r="846" spans="1:3" ht="15.75" customHeight="1" x14ac:dyDescent="0.35">
      <c r="A846" s="4"/>
      <c r="B846" s="4"/>
      <c r="C846" s="4"/>
    </row>
    <row r="847" spans="1:3" ht="15.75" customHeight="1" x14ac:dyDescent="0.35">
      <c r="A847" s="4"/>
      <c r="B847" s="4"/>
      <c r="C847" s="4"/>
    </row>
    <row r="848" spans="1:3" ht="15.75" customHeight="1" x14ac:dyDescent="0.35">
      <c r="A848" s="4"/>
      <c r="B848" s="4"/>
      <c r="C848" s="4"/>
    </row>
    <row r="849" spans="1:3" ht="15.75" customHeight="1" x14ac:dyDescent="0.35">
      <c r="A849" s="4"/>
      <c r="B849" s="4"/>
      <c r="C849" s="4"/>
    </row>
    <row r="850" spans="1:3" ht="15.75" customHeight="1" x14ac:dyDescent="0.35">
      <c r="A850" s="4"/>
      <c r="B850" s="4"/>
      <c r="C850" s="4"/>
    </row>
    <row r="851" spans="1:3" ht="15.75" customHeight="1" x14ac:dyDescent="0.35">
      <c r="A851" s="4"/>
      <c r="B851" s="4"/>
      <c r="C851" s="4"/>
    </row>
    <row r="852" spans="1:3" ht="15.75" customHeight="1" x14ac:dyDescent="0.35">
      <c r="A852" s="4"/>
      <c r="B852" s="4"/>
      <c r="C852" s="4"/>
    </row>
    <row r="853" spans="1:3" ht="15.75" customHeight="1" x14ac:dyDescent="0.35">
      <c r="A853" s="4"/>
      <c r="B853" s="4"/>
      <c r="C853" s="4"/>
    </row>
    <row r="854" spans="1:3" ht="15.75" customHeight="1" x14ac:dyDescent="0.35">
      <c r="A854" s="4"/>
      <c r="B854" s="4"/>
      <c r="C854" s="4"/>
    </row>
    <row r="855" spans="1:3" ht="15.75" customHeight="1" x14ac:dyDescent="0.35">
      <c r="A855" s="4"/>
      <c r="B855" s="4"/>
      <c r="C855" s="4"/>
    </row>
    <row r="856" spans="1:3" ht="15.75" customHeight="1" x14ac:dyDescent="0.35">
      <c r="A856" s="4"/>
      <c r="B856" s="4"/>
      <c r="C856" s="4"/>
    </row>
    <row r="857" spans="1:3" ht="15.75" customHeight="1" x14ac:dyDescent="0.35">
      <c r="A857" s="4"/>
      <c r="B857" s="4"/>
      <c r="C857" s="4"/>
    </row>
    <row r="858" spans="1:3" ht="15.75" customHeight="1" x14ac:dyDescent="0.35">
      <c r="A858" s="4"/>
      <c r="B858" s="4"/>
      <c r="C858" s="4"/>
    </row>
    <row r="859" spans="1:3" ht="15.75" customHeight="1" x14ac:dyDescent="0.35">
      <c r="A859" s="4"/>
      <c r="B859" s="4"/>
      <c r="C859" s="4"/>
    </row>
    <row r="860" spans="1:3" ht="15.75" customHeight="1" x14ac:dyDescent="0.35">
      <c r="A860" s="4"/>
      <c r="B860" s="4"/>
      <c r="C860" s="4"/>
    </row>
    <row r="861" spans="1:3" ht="15.75" customHeight="1" x14ac:dyDescent="0.35">
      <c r="A861" s="4"/>
      <c r="B861" s="4"/>
      <c r="C861" s="4"/>
    </row>
    <row r="862" spans="1:3" ht="15.75" customHeight="1" x14ac:dyDescent="0.35">
      <c r="A862" s="4"/>
      <c r="B862" s="4"/>
      <c r="C862" s="4"/>
    </row>
    <row r="863" spans="1:3" ht="15.75" customHeight="1" x14ac:dyDescent="0.35">
      <c r="A863" s="4"/>
      <c r="B863" s="4"/>
      <c r="C863" s="4"/>
    </row>
    <row r="864" spans="1:3" ht="15.75" customHeight="1" x14ac:dyDescent="0.35">
      <c r="A864" s="4"/>
      <c r="B864" s="4"/>
      <c r="C864" s="4"/>
    </row>
    <row r="865" spans="1:3" ht="15.75" customHeight="1" x14ac:dyDescent="0.35">
      <c r="A865" s="4"/>
      <c r="B865" s="4"/>
      <c r="C865" s="4"/>
    </row>
    <row r="866" spans="1:3" ht="15.75" customHeight="1" x14ac:dyDescent="0.35">
      <c r="A866" s="4"/>
      <c r="B866" s="4"/>
      <c r="C866" s="4"/>
    </row>
    <row r="867" spans="1:3" ht="15.75" customHeight="1" x14ac:dyDescent="0.35">
      <c r="A867" s="4"/>
      <c r="B867" s="4"/>
      <c r="C867" s="4"/>
    </row>
    <row r="868" spans="1:3" ht="15.75" customHeight="1" x14ac:dyDescent="0.35">
      <c r="A868" s="4"/>
      <c r="B868" s="4"/>
      <c r="C868" s="4"/>
    </row>
    <row r="869" spans="1:3" ht="15.75" customHeight="1" x14ac:dyDescent="0.35">
      <c r="A869" s="4"/>
      <c r="B869" s="4"/>
      <c r="C869" s="4"/>
    </row>
    <row r="870" spans="1:3" ht="15.75" customHeight="1" x14ac:dyDescent="0.35">
      <c r="A870" s="4"/>
      <c r="B870" s="4"/>
      <c r="C870" s="4"/>
    </row>
    <row r="871" spans="1:3" ht="15.75" customHeight="1" x14ac:dyDescent="0.35">
      <c r="A871" s="4"/>
      <c r="B871" s="4"/>
      <c r="C871" s="4"/>
    </row>
    <row r="872" spans="1:3" ht="15.75" customHeight="1" x14ac:dyDescent="0.35">
      <c r="A872" s="4"/>
      <c r="B872" s="4"/>
      <c r="C872" s="4"/>
    </row>
    <row r="873" spans="1:3" ht="15.75" customHeight="1" x14ac:dyDescent="0.35">
      <c r="A873" s="4"/>
      <c r="B873" s="4"/>
      <c r="C873" s="4"/>
    </row>
    <row r="874" spans="1:3" ht="15.75" customHeight="1" x14ac:dyDescent="0.35">
      <c r="A874" s="4"/>
      <c r="B874" s="4"/>
      <c r="C874" s="4"/>
    </row>
    <row r="875" spans="1:3" ht="15.75" customHeight="1" x14ac:dyDescent="0.35">
      <c r="A875" s="4"/>
      <c r="B875" s="4"/>
      <c r="C875" s="4"/>
    </row>
    <row r="876" spans="1:3" ht="15.75" customHeight="1" x14ac:dyDescent="0.35">
      <c r="A876" s="4"/>
      <c r="B876" s="4"/>
      <c r="C876" s="4"/>
    </row>
    <row r="877" spans="1:3" ht="15.75" customHeight="1" x14ac:dyDescent="0.35">
      <c r="A877" s="4"/>
      <c r="B877" s="4"/>
      <c r="C877" s="4"/>
    </row>
    <row r="878" spans="1:3" ht="15.75" customHeight="1" x14ac:dyDescent="0.35">
      <c r="A878" s="4"/>
      <c r="B878" s="4"/>
      <c r="C878" s="4"/>
    </row>
    <row r="879" spans="1:3" ht="15.75" customHeight="1" x14ac:dyDescent="0.35">
      <c r="A879" s="4"/>
      <c r="B879" s="4"/>
      <c r="C879" s="4"/>
    </row>
    <row r="880" spans="1:3" ht="15.75" customHeight="1" x14ac:dyDescent="0.35">
      <c r="A880" s="4"/>
      <c r="B880" s="4"/>
      <c r="C880" s="4"/>
    </row>
    <row r="881" spans="1:3" ht="15.75" customHeight="1" x14ac:dyDescent="0.35">
      <c r="A881" s="4"/>
      <c r="B881" s="4"/>
      <c r="C881" s="4"/>
    </row>
    <row r="882" spans="1:3" ht="15.75" customHeight="1" x14ac:dyDescent="0.35">
      <c r="A882" s="4"/>
      <c r="B882" s="4"/>
      <c r="C882" s="4"/>
    </row>
    <row r="883" spans="1:3" ht="15.75" customHeight="1" x14ac:dyDescent="0.35">
      <c r="A883" s="4"/>
      <c r="B883" s="4"/>
      <c r="C883" s="4"/>
    </row>
    <row r="884" spans="1:3" ht="15.75" customHeight="1" x14ac:dyDescent="0.35">
      <c r="A884" s="4"/>
      <c r="B884" s="4"/>
      <c r="C884" s="4"/>
    </row>
    <row r="885" spans="1:3" ht="15.75" customHeight="1" x14ac:dyDescent="0.35">
      <c r="A885" s="4"/>
      <c r="B885" s="4"/>
      <c r="C885" s="4"/>
    </row>
    <row r="886" spans="1:3" ht="15.75" customHeight="1" x14ac:dyDescent="0.35">
      <c r="A886" s="4"/>
      <c r="B886" s="4"/>
      <c r="C886" s="4"/>
    </row>
    <row r="887" spans="1:3" ht="15.75" customHeight="1" x14ac:dyDescent="0.35">
      <c r="A887" s="4"/>
      <c r="B887" s="4"/>
      <c r="C887" s="4"/>
    </row>
    <row r="888" spans="1:3" ht="15.75" customHeight="1" x14ac:dyDescent="0.35">
      <c r="A888" s="4"/>
      <c r="B888" s="4"/>
      <c r="C888" s="4"/>
    </row>
    <row r="889" spans="1:3" ht="15.75" customHeight="1" x14ac:dyDescent="0.35">
      <c r="A889" s="4"/>
      <c r="B889" s="4"/>
      <c r="C889" s="4"/>
    </row>
    <row r="890" spans="1:3" ht="15.75" customHeight="1" x14ac:dyDescent="0.35">
      <c r="A890" s="4"/>
      <c r="B890" s="4"/>
      <c r="C890" s="4"/>
    </row>
    <row r="891" spans="1:3" ht="15.75" customHeight="1" x14ac:dyDescent="0.35">
      <c r="A891" s="4"/>
      <c r="B891" s="4"/>
      <c r="C891" s="4"/>
    </row>
    <row r="892" spans="1:3" ht="15.75" customHeight="1" x14ac:dyDescent="0.35">
      <c r="A892" s="4"/>
      <c r="B892" s="4"/>
      <c r="C892" s="4"/>
    </row>
    <row r="893" spans="1:3" ht="15.75" customHeight="1" x14ac:dyDescent="0.35">
      <c r="A893" s="4"/>
      <c r="B893" s="4"/>
      <c r="C893" s="4"/>
    </row>
    <row r="894" spans="1:3" ht="15.75" customHeight="1" x14ac:dyDescent="0.35">
      <c r="A894" s="4"/>
      <c r="B894" s="4"/>
      <c r="C894" s="4"/>
    </row>
    <row r="895" spans="1:3" ht="15.75" customHeight="1" x14ac:dyDescent="0.35">
      <c r="A895" s="4"/>
      <c r="B895" s="4"/>
      <c r="C895" s="4"/>
    </row>
    <row r="896" spans="1:3" ht="15.75" customHeight="1" x14ac:dyDescent="0.35">
      <c r="A896" s="4"/>
      <c r="B896" s="4"/>
      <c r="C896" s="4"/>
    </row>
    <row r="897" spans="1:3" ht="15.75" customHeight="1" x14ac:dyDescent="0.35">
      <c r="A897" s="4"/>
      <c r="B897" s="4"/>
      <c r="C897" s="4"/>
    </row>
    <row r="898" spans="1:3" ht="15.75" customHeight="1" x14ac:dyDescent="0.35">
      <c r="A898" s="4"/>
      <c r="B898" s="4"/>
      <c r="C898" s="4"/>
    </row>
    <row r="899" spans="1:3" ht="15.75" customHeight="1" x14ac:dyDescent="0.35">
      <c r="A899" s="4"/>
      <c r="B899" s="4"/>
      <c r="C899" s="4"/>
    </row>
    <row r="900" spans="1:3" ht="15.75" customHeight="1" x14ac:dyDescent="0.35">
      <c r="A900" s="4"/>
      <c r="B900" s="4"/>
      <c r="C900" s="4"/>
    </row>
    <row r="901" spans="1:3" ht="15.75" customHeight="1" x14ac:dyDescent="0.35">
      <c r="A901" s="4"/>
      <c r="B901" s="4"/>
      <c r="C901" s="4"/>
    </row>
    <row r="902" spans="1:3" ht="15.75" customHeight="1" x14ac:dyDescent="0.35">
      <c r="A902" s="4"/>
      <c r="B902" s="4"/>
      <c r="C902" s="4"/>
    </row>
    <row r="903" spans="1:3" ht="15.75" customHeight="1" x14ac:dyDescent="0.35">
      <c r="A903" s="4"/>
      <c r="B903" s="4"/>
      <c r="C903" s="4"/>
    </row>
    <row r="904" spans="1:3" ht="15.75" customHeight="1" x14ac:dyDescent="0.35">
      <c r="A904" s="4"/>
      <c r="B904" s="4"/>
      <c r="C904" s="4"/>
    </row>
    <row r="905" spans="1:3" ht="15.75" customHeight="1" x14ac:dyDescent="0.35">
      <c r="A905" s="4"/>
      <c r="B905" s="4"/>
      <c r="C905" s="4"/>
    </row>
    <row r="906" spans="1:3" ht="15.75" customHeight="1" x14ac:dyDescent="0.35">
      <c r="A906" s="4"/>
      <c r="B906" s="4"/>
      <c r="C906" s="4"/>
    </row>
    <row r="907" spans="1:3" ht="15.75" customHeight="1" x14ac:dyDescent="0.35">
      <c r="A907" s="4"/>
      <c r="B907" s="4"/>
      <c r="C907" s="4"/>
    </row>
    <row r="908" spans="1:3" ht="15.75" customHeight="1" x14ac:dyDescent="0.35">
      <c r="A908" s="4"/>
      <c r="B908" s="4"/>
      <c r="C908" s="4"/>
    </row>
    <row r="909" spans="1:3" ht="15.75" customHeight="1" x14ac:dyDescent="0.35">
      <c r="A909" s="4"/>
      <c r="B909" s="4"/>
      <c r="C909" s="4"/>
    </row>
    <row r="910" spans="1:3" ht="15.75" customHeight="1" x14ac:dyDescent="0.35">
      <c r="A910" s="4"/>
      <c r="B910" s="4"/>
      <c r="C910" s="4"/>
    </row>
    <row r="911" spans="1:3" ht="15.75" customHeight="1" x14ac:dyDescent="0.35">
      <c r="A911" s="4"/>
      <c r="B911" s="4"/>
      <c r="C911" s="4"/>
    </row>
    <row r="912" spans="1:3" ht="15.75" customHeight="1" x14ac:dyDescent="0.35">
      <c r="A912" s="4"/>
      <c r="B912" s="4"/>
      <c r="C912" s="4"/>
    </row>
    <row r="913" spans="1:3" ht="15.75" customHeight="1" x14ac:dyDescent="0.35">
      <c r="A913" s="4"/>
      <c r="B913" s="4"/>
      <c r="C913" s="4"/>
    </row>
    <row r="914" spans="1:3" ht="15.75" customHeight="1" x14ac:dyDescent="0.35">
      <c r="A914" s="4"/>
      <c r="B914" s="4"/>
      <c r="C914" s="4"/>
    </row>
    <row r="915" spans="1:3" ht="15.75" customHeight="1" x14ac:dyDescent="0.35">
      <c r="A915" s="4"/>
      <c r="B915" s="4"/>
      <c r="C915" s="4"/>
    </row>
    <row r="916" spans="1:3" ht="15.75" customHeight="1" x14ac:dyDescent="0.35">
      <c r="A916" s="4"/>
      <c r="B916" s="4"/>
      <c r="C916" s="4"/>
    </row>
    <row r="917" spans="1:3" ht="15.75" customHeight="1" x14ac:dyDescent="0.35">
      <c r="A917" s="4"/>
      <c r="B917" s="4"/>
      <c r="C917" s="4"/>
    </row>
    <row r="918" spans="1:3" ht="15.75" customHeight="1" x14ac:dyDescent="0.35">
      <c r="A918" s="4"/>
      <c r="B918" s="4"/>
      <c r="C918" s="4"/>
    </row>
    <row r="919" spans="1:3" ht="15.75" customHeight="1" x14ac:dyDescent="0.35">
      <c r="A919" s="4"/>
      <c r="B919" s="4"/>
      <c r="C919" s="4"/>
    </row>
    <row r="920" spans="1:3" ht="15.75" customHeight="1" x14ac:dyDescent="0.35">
      <c r="A920" s="4"/>
      <c r="B920" s="4"/>
      <c r="C920" s="4"/>
    </row>
    <row r="921" spans="1:3" ht="15.75" customHeight="1" x14ac:dyDescent="0.35">
      <c r="A921" s="4"/>
      <c r="B921" s="4"/>
      <c r="C921" s="4"/>
    </row>
    <row r="922" spans="1:3" ht="15.75" customHeight="1" x14ac:dyDescent="0.35">
      <c r="A922" s="4"/>
      <c r="B922" s="4"/>
      <c r="C922" s="4"/>
    </row>
    <row r="923" spans="1:3" ht="15.75" customHeight="1" x14ac:dyDescent="0.35">
      <c r="A923" s="4"/>
      <c r="B923" s="4"/>
      <c r="C923" s="4"/>
    </row>
    <row r="924" spans="1:3" ht="15.75" customHeight="1" x14ac:dyDescent="0.35">
      <c r="A924" s="4"/>
      <c r="B924" s="4"/>
      <c r="C924" s="4"/>
    </row>
    <row r="925" spans="1:3" ht="15.75" customHeight="1" x14ac:dyDescent="0.35">
      <c r="A925" s="4"/>
      <c r="B925" s="4"/>
      <c r="C925" s="4"/>
    </row>
    <row r="926" spans="1:3" ht="15.75" customHeight="1" x14ac:dyDescent="0.35">
      <c r="A926" s="4"/>
      <c r="B926" s="4"/>
      <c r="C926" s="4"/>
    </row>
    <row r="927" spans="1:3" ht="15.75" customHeight="1" x14ac:dyDescent="0.35">
      <c r="A927" s="4"/>
      <c r="B927" s="4"/>
      <c r="C927" s="4"/>
    </row>
    <row r="928" spans="1:3" ht="15.75" customHeight="1" x14ac:dyDescent="0.35">
      <c r="A928" s="4"/>
      <c r="B928" s="4"/>
      <c r="C928" s="4"/>
    </row>
    <row r="929" spans="1:3" ht="15.75" customHeight="1" x14ac:dyDescent="0.35">
      <c r="A929" s="4"/>
      <c r="B929" s="4"/>
      <c r="C929" s="4"/>
    </row>
    <row r="930" spans="1:3" ht="15.75" customHeight="1" x14ac:dyDescent="0.35">
      <c r="A930" s="4"/>
      <c r="B930" s="4"/>
      <c r="C930" s="4"/>
    </row>
    <row r="931" spans="1:3" ht="15.75" customHeight="1" x14ac:dyDescent="0.35">
      <c r="A931" s="4"/>
      <c r="B931" s="4"/>
      <c r="C931" s="4"/>
    </row>
    <row r="932" spans="1:3" ht="15.75" customHeight="1" x14ac:dyDescent="0.35">
      <c r="A932" s="4"/>
      <c r="B932" s="4"/>
      <c r="C932" s="4"/>
    </row>
    <row r="933" spans="1:3" ht="15.75" customHeight="1" x14ac:dyDescent="0.35">
      <c r="A933" s="4"/>
      <c r="B933" s="4"/>
      <c r="C933" s="4"/>
    </row>
    <row r="934" spans="1:3" ht="15.75" customHeight="1" x14ac:dyDescent="0.35">
      <c r="A934" s="4"/>
      <c r="B934" s="4"/>
      <c r="C934" s="4"/>
    </row>
    <row r="935" spans="1:3" ht="15.75" customHeight="1" x14ac:dyDescent="0.35">
      <c r="A935" s="4"/>
      <c r="B935" s="4"/>
      <c r="C935" s="4"/>
    </row>
    <row r="936" spans="1:3" ht="15.75" customHeight="1" x14ac:dyDescent="0.35">
      <c r="A936" s="4"/>
      <c r="B936" s="4"/>
      <c r="C936" s="4"/>
    </row>
    <row r="937" spans="1:3" ht="15.75" customHeight="1" x14ac:dyDescent="0.35">
      <c r="A937" s="4"/>
      <c r="B937" s="4"/>
      <c r="C937" s="4"/>
    </row>
    <row r="938" spans="1:3" ht="15.75" customHeight="1" x14ac:dyDescent="0.35">
      <c r="A938" s="4"/>
      <c r="B938" s="4"/>
      <c r="C938" s="4"/>
    </row>
    <row r="939" spans="1:3" ht="15.75" customHeight="1" x14ac:dyDescent="0.35">
      <c r="A939" s="4"/>
      <c r="B939" s="4"/>
      <c r="C939" s="4"/>
    </row>
    <row r="940" spans="1:3" ht="15.75" customHeight="1" x14ac:dyDescent="0.35">
      <c r="A940" s="4"/>
      <c r="B940" s="4"/>
      <c r="C940" s="4"/>
    </row>
    <row r="941" spans="1:3" ht="15.75" customHeight="1" x14ac:dyDescent="0.35">
      <c r="A941" s="4"/>
      <c r="B941" s="4"/>
      <c r="C941" s="4"/>
    </row>
    <row r="942" spans="1:3" ht="15.75" customHeight="1" x14ac:dyDescent="0.35">
      <c r="A942" s="4"/>
      <c r="B942" s="4"/>
      <c r="C942" s="4"/>
    </row>
    <row r="943" spans="1:3" ht="15.75" customHeight="1" x14ac:dyDescent="0.35">
      <c r="A943" s="4"/>
      <c r="B943" s="4"/>
      <c r="C943" s="4"/>
    </row>
    <row r="944" spans="1:3" ht="15.75" customHeight="1" x14ac:dyDescent="0.35">
      <c r="A944" s="4"/>
      <c r="B944" s="4"/>
      <c r="C944" s="4"/>
    </row>
    <row r="945" spans="1:3" ht="15.75" customHeight="1" x14ac:dyDescent="0.35">
      <c r="A945" s="4"/>
      <c r="B945" s="4"/>
      <c r="C945" s="4"/>
    </row>
    <row r="946" spans="1:3" ht="15.75" customHeight="1" x14ac:dyDescent="0.35">
      <c r="A946" s="4"/>
      <c r="B946" s="4"/>
      <c r="C946" s="4"/>
    </row>
    <row r="947" spans="1:3" ht="15.75" customHeight="1" x14ac:dyDescent="0.35">
      <c r="A947" s="4"/>
      <c r="B947" s="4"/>
      <c r="C947" s="4"/>
    </row>
    <row r="948" spans="1:3" ht="15.75" customHeight="1" x14ac:dyDescent="0.35">
      <c r="A948" s="4"/>
      <c r="B948" s="4"/>
      <c r="C948" s="4"/>
    </row>
    <row r="949" spans="1:3" ht="15.75" customHeight="1" x14ac:dyDescent="0.35">
      <c r="A949" s="4"/>
      <c r="B949" s="4"/>
      <c r="C949" s="4"/>
    </row>
    <row r="950" spans="1:3" ht="15.75" customHeight="1" x14ac:dyDescent="0.35">
      <c r="A950" s="4"/>
      <c r="B950" s="4"/>
      <c r="C950" s="4"/>
    </row>
    <row r="951" spans="1:3" ht="15.75" customHeight="1" x14ac:dyDescent="0.35">
      <c r="A951" s="4"/>
      <c r="B951" s="4"/>
      <c r="C951" s="4"/>
    </row>
    <row r="952" spans="1:3" ht="15.75" customHeight="1" x14ac:dyDescent="0.35">
      <c r="A952" s="4"/>
      <c r="B952" s="4"/>
      <c r="C952" s="4"/>
    </row>
    <row r="953" spans="1:3" ht="15.75" customHeight="1" x14ac:dyDescent="0.35">
      <c r="A953" s="4"/>
      <c r="B953" s="4"/>
      <c r="C953" s="4"/>
    </row>
    <row r="954" spans="1:3" ht="15.75" customHeight="1" x14ac:dyDescent="0.35">
      <c r="A954" s="4"/>
      <c r="B954" s="4"/>
      <c r="C954" s="4"/>
    </row>
    <row r="955" spans="1:3" ht="15.75" customHeight="1" x14ac:dyDescent="0.35">
      <c r="A955" s="4"/>
      <c r="B955" s="4"/>
      <c r="C955" s="4"/>
    </row>
    <row r="956" spans="1:3" ht="15.75" customHeight="1" x14ac:dyDescent="0.35">
      <c r="A956" s="4"/>
      <c r="B956" s="4"/>
      <c r="C956" s="4"/>
    </row>
    <row r="957" spans="1:3" ht="15.75" customHeight="1" x14ac:dyDescent="0.35">
      <c r="A957" s="4"/>
      <c r="B957" s="4"/>
      <c r="C957" s="4"/>
    </row>
    <row r="958" spans="1:3" ht="15.75" customHeight="1" x14ac:dyDescent="0.35">
      <c r="A958" s="4"/>
      <c r="B958" s="4"/>
      <c r="C958" s="4"/>
    </row>
    <row r="959" spans="1:3" ht="15.75" customHeight="1" x14ac:dyDescent="0.35">
      <c r="A959" s="4"/>
      <c r="B959" s="4"/>
      <c r="C959" s="4"/>
    </row>
    <row r="960" spans="1:3" ht="15.75" customHeight="1" x14ac:dyDescent="0.35">
      <c r="A960" s="4"/>
      <c r="B960" s="4"/>
      <c r="C960" s="4"/>
    </row>
    <row r="961" spans="1:3" ht="15.75" customHeight="1" x14ac:dyDescent="0.35">
      <c r="A961" s="4"/>
      <c r="B961" s="4"/>
      <c r="C961" s="4"/>
    </row>
    <row r="962" spans="1:3" ht="15.75" customHeight="1" x14ac:dyDescent="0.35">
      <c r="A962" s="4"/>
      <c r="B962" s="4"/>
      <c r="C962" s="4"/>
    </row>
    <row r="963" spans="1:3" ht="15.75" customHeight="1" x14ac:dyDescent="0.35">
      <c r="A963" s="4"/>
      <c r="B963" s="4"/>
      <c r="C963" s="4"/>
    </row>
    <row r="964" spans="1:3" ht="15.75" customHeight="1" x14ac:dyDescent="0.35">
      <c r="A964" s="4"/>
      <c r="B964" s="4"/>
      <c r="C964" s="4"/>
    </row>
    <row r="965" spans="1:3" ht="15.75" customHeight="1" x14ac:dyDescent="0.35">
      <c r="A965" s="4"/>
      <c r="B965" s="4"/>
      <c r="C965" s="4"/>
    </row>
    <row r="966" spans="1:3" ht="15.75" customHeight="1" x14ac:dyDescent="0.35">
      <c r="A966" s="4"/>
      <c r="B966" s="4"/>
      <c r="C966" s="4"/>
    </row>
    <row r="967" spans="1:3" ht="15.75" customHeight="1" x14ac:dyDescent="0.35">
      <c r="A967" s="4"/>
      <c r="B967" s="4"/>
      <c r="C967" s="4"/>
    </row>
    <row r="968" spans="1:3" ht="15.75" customHeight="1" x14ac:dyDescent="0.35">
      <c r="A968" s="4"/>
      <c r="B968" s="4"/>
      <c r="C968" s="4"/>
    </row>
    <row r="969" spans="1:3" ht="15.75" customHeight="1" x14ac:dyDescent="0.35">
      <c r="A969" s="4"/>
      <c r="B969" s="4"/>
      <c r="C969" s="4"/>
    </row>
    <row r="970" spans="1:3" ht="15.75" customHeight="1" x14ac:dyDescent="0.35">
      <c r="A970" s="4"/>
      <c r="B970" s="4"/>
      <c r="C970" s="4"/>
    </row>
    <row r="971" spans="1:3" ht="15.75" customHeight="1" x14ac:dyDescent="0.35">
      <c r="A971" s="4"/>
      <c r="B971" s="4"/>
      <c r="C971" s="4"/>
    </row>
    <row r="972" spans="1:3" ht="15.75" customHeight="1" x14ac:dyDescent="0.35">
      <c r="A972" s="4"/>
      <c r="B972" s="4"/>
      <c r="C972" s="4"/>
    </row>
    <row r="973" spans="1:3" ht="15.75" customHeight="1" x14ac:dyDescent="0.35">
      <c r="A973" s="4"/>
      <c r="B973" s="4"/>
      <c r="C973" s="4"/>
    </row>
    <row r="974" spans="1:3" ht="15.75" customHeight="1" x14ac:dyDescent="0.35">
      <c r="A974" s="4"/>
      <c r="B974" s="4"/>
      <c r="C974" s="4"/>
    </row>
    <row r="975" spans="1:3" ht="15.75" customHeight="1" x14ac:dyDescent="0.35">
      <c r="A975" s="4"/>
      <c r="B975" s="4"/>
      <c r="C975" s="4"/>
    </row>
    <row r="976" spans="1:3" ht="15.75" customHeight="1" x14ac:dyDescent="0.35">
      <c r="A976" s="4"/>
      <c r="B976" s="4"/>
      <c r="C976" s="4"/>
    </row>
    <row r="977" spans="1:3" ht="15.75" customHeight="1" x14ac:dyDescent="0.35">
      <c r="A977" s="4"/>
      <c r="B977" s="4"/>
      <c r="C977" s="4"/>
    </row>
    <row r="978" spans="1:3" ht="15.75" customHeight="1" x14ac:dyDescent="0.35">
      <c r="A978" s="4"/>
      <c r="B978" s="4"/>
      <c r="C978" s="4"/>
    </row>
    <row r="979" spans="1:3" ht="15.75" customHeight="1" x14ac:dyDescent="0.35">
      <c r="A979" s="4"/>
      <c r="B979" s="4"/>
      <c r="C979" s="4"/>
    </row>
    <row r="980" spans="1:3" ht="15.75" customHeight="1" x14ac:dyDescent="0.35">
      <c r="A980" s="4"/>
      <c r="B980" s="4"/>
      <c r="C980" s="4"/>
    </row>
    <row r="981" spans="1:3" ht="15.75" customHeight="1" x14ac:dyDescent="0.35">
      <c r="A981" s="4"/>
      <c r="B981" s="4"/>
      <c r="C981" s="4"/>
    </row>
    <row r="982" spans="1:3" ht="15.75" customHeight="1" x14ac:dyDescent="0.35">
      <c r="A982" s="4"/>
      <c r="B982" s="4"/>
      <c r="C982" s="4"/>
    </row>
    <row r="983" spans="1:3" ht="15.75" customHeight="1" x14ac:dyDescent="0.35">
      <c r="A983" s="4"/>
      <c r="B983" s="4"/>
      <c r="C983" s="4"/>
    </row>
    <row r="984" spans="1:3" ht="15.75" customHeight="1" x14ac:dyDescent="0.35">
      <c r="A984" s="4"/>
      <c r="B984" s="4"/>
      <c r="C984" s="4"/>
    </row>
    <row r="985" spans="1:3" ht="15.75" customHeight="1" x14ac:dyDescent="0.35">
      <c r="A985" s="4"/>
      <c r="B985" s="4"/>
      <c r="C985" s="4"/>
    </row>
    <row r="986" spans="1:3" ht="15.75" customHeight="1" x14ac:dyDescent="0.35">
      <c r="A986" s="4"/>
      <c r="B986" s="4"/>
      <c r="C986" s="4"/>
    </row>
    <row r="987" spans="1:3" ht="15.75" customHeight="1" x14ac:dyDescent="0.35">
      <c r="A987" s="4"/>
      <c r="B987" s="4"/>
      <c r="C987" s="4"/>
    </row>
    <row r="988" spans="1:3" ht="15.75" customHeight="1" x14ac:dyDescent="0.35">
      <c r="A988" s="4"/>
      <c r="B988" s="4"/>
      <c r="C988" s="4"/>
    </row>
    <row r="989" spans="1:3" ht="15.75" customHeight="1" x14ac:dyDescent="0.35">
      <c r="A989" s="4"/>
      <c r="B989" s="4"/>
      <c r="C989" s="4"/>
    </row>
    <row r="990" spans="1:3" ht="15.75" customHeight="1" x14ac:dyDescent="0.35">
      <c r="A990" s="4"/>
      <c r="B990" s="4"/>
      <c r="C990" s="4"/>
    </row>
    <row r="991" spans="1:3" ht="15.75" customHeight="1" x14ac:dyDescent="0.35">
      <c r="A991" s="4"/>
      <c r="B991" s="4"/>
      <c r="C991" s="4"/>
    </row>
    <row r="992" spans="1:3" ht="15.75" customHeight="1" x14ac:dyDescent="0.35">
      <c r="A992" s="4"/>
      <c r="B992" s="4"/>
      <c r="C992" s="4"/>
    </row>
    <row r="993" spans="1:3" ht="15.75" customHeight="1" x14ac:dyDescent="0.35">
      <c r="A993" s="4"/>
      <c r="B993" s="4"/>
      <c r="C993" s="4"/>
    </row>
    <row r="994" spans="1:3" ht="15.75" customHeight="1" x14ac:dyDescent="0.35">
      <c r="A994" s="4"/>
      <c r="B994" s="4"/>
      <c r="C994" s="4"/>
    </row>
    <row r="995" spans="1:3" ht="15.75" customHeight="1" x14ac:dyDescent="0.35">
      <c r="A995" s="4"/>
      <c r="B995" s="4"/>
      <c r="C995" s="4"/>
    </row>
    <row r="996" spans="1:3" ht="15.75" customHeight="1" x14ac:dyDescent="0.35">
      <c r="A996" s="4"/>
      <c r="B996" s="4"/>
      <c r="C996" s="4"/>
    </row>
    <row r="997" spans="1:3" ht="15.75" customHeight="1" x14ac:dyDescent="0.35">
      <c r="A997" s="4"/>
      <c r="B997" s="4"/>
      <c r="C997" s="4"/>
    </row>
    <row r="998" spans="1:3" ht="15.75" customHeight="1" x14ac:dyDescent="0.35">
      <c r="A998" s="4"/>
      <c r="B998" s="4"/>
      <c r="C998" s="4"/>
    </row>
    <row r="999" spans="1:3" ht="15.75" customHeight="1" x14ac:dyDescent="0.35">
      <c r="A999" s="4"/>
      <c r="B999" s="4"/>
      <c r="C999" s="4"/>
    </row>
    <row r="1000" spans="1:3" ht="15.75" customHeight="1" x14ac:dyDescent="0.35">
      <c r="A1000" s="4"/>
      <c r="B1000" s="4"/>
      <c r="C1000" s="4"/>
    </row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4.453125" defaultRowHeight="15" customHeight="1" x14ac:dyDescent="0.35"/>
  <cols>
    <col min="1" max="1" width="16" customWidth="1"/>
    <col min="2" max="9" width="17" customWidth="1"/>
    <col min="10" max="26" width="8.7265625" customWidth="1"/>
  </cols>
  <sheetData>
    <row r="1" spans="1:9" ht="17.25" customHeight="1" x14ac:dyDescent="0.4">
      <c r="A1" s="1" t="s">
        <v>263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35">
      <c r="A2" s="5" t="s">
        <v>264</v>
      </c>
      <c r="B2" s="4"/>
      <c r="C2" s="4"/>
      <c r="D2" s="4"/>
      <c r="E2" s="4"/>
      <c r="F2" s="4"/>
      <c r="G2" s="4"/>
      <c r="H2" s="4"/>
      <c r="I2" s="4"/>
    </row>
    <row r="3" spans="1:9" ht="14.5" x14ac:dyDescent="0.35">
      <c r="A3" s="4"/>
      <c r="B3" s="4"/>
      <c r="C3" s="4"/>
      <c r="D3" s="4"/>
      <c r="E3" s="4"/>
      <c r="F3" s="4"/>
      <c r="G3" s="4"/>
      <c r="H3" s="4"/>
      <c r="I3" s="4"/>
    </row>
    <row r="4" spans="1:9" ht="26.25" customHeight="1" x14ac:dyDescent="0.35">
      <c r="A4" s="6" t="s">
        <v>265</v>
      </c>
      <c r="B4" s="6" t="s">
        <v>266</v>
      </c>
      <c r="C4" s="6" t="s">
        <v>267</v>
      </c>
      <c r="D4" s="6" t="s">
        <v>268</v>
      </c>
      <c r="E4" s="6" t="s">
        <v>269</v>
      </c>
      <c r="F4" s="6" t="s">
        <v>270</v>
      </c>
      <c r="G4" s="6" t="s">
        <v>271</v>
      </c>
      <c r="H4" s="6" t="s">
        <v>226</v>
      </c>
      <c r="I4" s="6" t="s">
        <v>272</v>
      </c>
    </row>
    <row r="5" spans="1:9" ht="15" customHeight="1" x14ac:dyDescent="0.35">
      <c r="A5" s="3" t="s">
        <v>274</v>
      </c>
      <c r="B5" s="39">
        <v>0.7</v>
      </c>
      <c r="C5" s="40">
        <v>0.03</v>
      </c>
      <c r="D5" s="39">
        <v>0.85</v>
      </c>
      <c r="E5" s="41">
        <v>125.494185998715</v>
      </c>
      <c r="F5" s="26">
        <v>698668.87101774605</v>
      </c>
      <c r="G5" s="26">
        <v>-264029.531023624</v>
      </c>
      <c r="H5" s="26">
        <v>-786390.20230001304</v>
      </c>
      <c r="I5" s="26">
        <v>-623167.63443276298</v>
      </c>
    </row>
    <row r="6" spans="1:9" ht="15" customHeight="1" x14ac:dyDescent="0.35">
      <c r="A6" s="2" t="s">
        <v>275</v>
      </c>
      <c r="B6" s="42">
        <v>1</v>
      </c>
      <c r="C6" s="43">
        <v>0.02</v>
      </c>
      <c r="D6" s="42">
        <v>1</v>
      </c>
      <c r="E6" s="44">
        <v>209.36869996962901</v>
      </c>
      <c r="F6" s="33">
        <v>1337452.55746238</v>
      </c>
      <c r="G6" s="33">
        <v>288553.54681386601</v>
      </c>
      <c r="H6" s="33">
        <v>441245.06248434703</v>
      </c>
      <c r="I6" s="33">
        <v>16860</v>
      </c>
    </row>
    <row r="7" spans="1:9" ht="15" customHeight="1" x14ac:dyDescent="0.35">
      <c r="A7" s="3" t="s">
        <v>276</v>
      </c>
      <c r="B7" s="39">
        <v>1.3</v>
      </c>
      <c r="C7" s="40">
        <v>1.4999999999999999E-2</v>
      </c>
      <c r="D7" s="39">
        <v>1</v>
      </c>
      <c r="E7" s="41">
        <v>295.60275962498201</v>
      </c>
      <c r="F7" s="26">
        <v>1874593.3109830001</v>
      </c>
      <c r="G7" s="26">
        <v>745029.77131563798</v>
      </c>
      <c r="H7" s="26">
        <v>1339623.5384639699</v>
      </c>
      <c r="I7" s="26">
        <v>16860</v>
      </c>
    </row>
    <row r="8" spans="1:9" ht="14.5" x14ac:dyDescent="0.35">
      <c r="A8" s="4"/>
      <c r="B8" s="4"/>
      <c r="C8" s="4"/>
      <c r="D8" s="4"/>
      <c r="E8" s="4"/>
      <c r="F8" s="4"/>
      <c r="G8" s="4"/>
      <c r="H8" s="4"/>
      <c r="I8" s="4"/>
    </row>
    <row r="9" spans="1:9" ht="15" customHeight="1" x14ac:dyDescent="0.35">
      <c r="A9" s="5" t="s">
        <v>277</v>
      </c>
      <c r="B9" s="4"/>
      <c r="C9" s="4"/>
      <c r="D9" s="4"/>
      <c r="E9" s="4"/>
      <c r="F9" s="4"/>
      <c r="G9" s="4"/>
      <c r="H9" s="4"/>
      <c r="I9" s="4"/>
    </row>
    <row r="10" spans="1:9" ht="14.5" x14ac:dyDescent="0.35">
      <c r="A10" s="4"/>
      <c r="B10" s="4"/>
      <c r="C10" s="4"/>
      <c r="D10" s="4"/>
      <c r="E10" s="4"/>
      <c r="F10" s="4"/>
      <c r="G10" s="4"/>
      <c r="H10" s="4"/>
      <c r="I10" s="4"/>
    </row>
    <row r="11" spans="1:9" ht="14.5" x14ac:dyDescent="0.35">
      <c r="A11" s="4"/>
      <c r="B11" s="4"/>
      <c r="C11" s="4"/>
      <c r="D11" s="4"/>
      <c r="E11" s="4"/>
      <c r="F11" s="4"/>
      <c r="G11" s="4"/>
      <c r="H11" s="4"/>
      <c r="I11" s="4"/>
    </row>
    <row r="12" spans="1:9" ht="14.5" x14ac:dyDescent="0.35">
      <c r="A12" s="4"/>
      <c r="B12" s="4"/>
      <c r="C12" s="4"/>
      <c r="D12" s="4"/>
      <c r="E12" s="4"/>
      <c r="F12" s="4"/>
      <c r="G12" s="4"/>
      <c r="H12" s="4"/>
      <c r="I12" s="4"/>
    </row>
    <row r="13" spans="1:9" ht="14.5" x14ac:dyDescent="0.35">
      <c r="A13" s="4"/>
      <c r="B13" s="4"/>
      <c r="C13" s="4"/>
      <c r="D13" s="4"/>
      <c r="E13" s="4"/>
      <c r="F13" s="4"/>
      <c r="G13" s="4"/>
      <c r="H13" s="4"/>
      <c r="I13" s="4"/>
    </row>
    <row r="14" spans="1:9" ht="14.5" x14ac:dyDescent="0.35">
      <c r="A14" s="4"/>
      <c r="B14" s="4"/>
      <c r="C14" s="4"/>
      <c r="D14" s="4"/>
      <c r="E14" s="4"/>
      <c r="F14" s="4"/>
      <c r="G14" s="4"/>
      <c r="H14" s="4"/>
      <c r="I14" s="4"/>
    </row>
    <row r="15" spans="1:9" ht="14.5" x14ac:dyDescent="0.35">
      <c r="A15" s="4"/>
      <c r="B15" s="4"/>
      <c r="C15" s="4"/>
      <c r="D15" s="4"/>
      <c r="E15" s="4"/>
      <c r="F15" s="4"/>
      <c r="G15" s="4"/>
      <c r="H15" s="4"/>
      <c r="I15" s="4"/>
    </row>
    <row r="16" spans="1:9" ht="14.5" x14ac:dyDescent="0.35">
      <c r="A16" s="4"/>
      <c r="B16" s="4"/>
      <c r="C16" s="4"/>
      <c r="D16" s="4"/>
      <c r="E16" s="4"/>
      <c r="F16" s="4"/>
      <c r="G16" s="4"/>
      <c r="H16" s="4"/>
      <c r="I16" s="4"/>
    </row>
    <row r="17" spans="1:9" ht="14.5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ht="14.5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ht="14.5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ht="14.5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5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5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5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5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5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5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5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5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5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5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5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5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5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5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5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5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5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5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5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5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5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5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5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5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5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5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5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5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5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5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5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5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5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5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5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5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5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5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5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5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5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5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5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5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5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5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5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5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5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5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5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5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5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5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5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5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5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5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5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5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5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5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5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5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</row>
    <row r="993" spans="1:9" ht="15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</row>
    <row r="994" spans="1:9" ht="15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</row>
    <row r="995" spans="1:9" ht="15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</row>
    <row r="996" spans="1:9" ht="15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</row>
    <row r="997" spans="1:9" ht="15.7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</row>
    <row r="998" spans="1:9" ht="15.7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</row>
    <row r="999" spans="1:9" ht="15.7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</row>
    <row r="1000" spans="1:9" ht="15.7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Supuestos</vt:lpstr>
      <vt:lpstr>Plantilla</vt:lpstr>
      <vt:lpstr>Mensual</vt:lpstr>
      <vt:lpstr>Anual</vt:lpstr>
      <vt:lpstr>Indicadores</vt:lpstr>
      <vt:lpstr>Sensibilidad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Rosángela Blanco Rodríguez</cp:lastModifiedBy>
  <dcterms:created xsi:type="dcterms:W3CDTF">2026-09-30T20:09:19Z</dcterms:created>
  <dcterms:modified xsi:type="dcterms:W3CDTF">2026-10-08T21:05:07Z</dcterms:modified>
</cp:coreProperties>
</file>